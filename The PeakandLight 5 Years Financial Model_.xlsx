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wdp" ContentType="image/vnd.ms-photo"/>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drawings/drawing3.xml" ContentType="application/vnd.openxmlformats-officedocument.drawing+xml"/>
  <Override PartName="/xl/ctrlProps/ctrlProp2.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xml"/>
  <Override PartName="/xl/ctrlProps/ctrlProp3.xml" ContentType="application/vnd.ms-excel.controlproperties+xml"/>
  <Override PartName="/xl/drawings/drawing5.xml" ContentType="application/vnd.openxmlformats-officedocument.drawing+xml"/>
  <Override PartName="/xl/ctrlProps/ctrlProp4.xml" ContentType="application/vnd.ms-excel.controlproperties+xml"/>
  <Override PartName="/xl/drawings/drawing6.xml" ContentType="application/vnd.openxmlformats-officedocument.drawing+xml"/>
  <Override PartName="/xl/ctrlProps/ctrlProp5.xml" ContentType="application/vnd.ms-excel.controlproperties+xml"/>
  <Override PartName="/xl/drawings/drawing7.xml" ContentType="application/vnd.openxmlformats-officedocument.drawing+xml"/>
  <Override PartName="/xl/ctrlProps/ctrlProp6.xml" ContentType="application/vnd.ms-excel.controlproperties+xml"/>
  <Override PartName="/xl/drawings/drawing8.xml" ContentType="application/vnd.openxmlformats-officedocument.drawing+xml"/>
  <Override PartName="/xl/ctrlProps/ctrlProp7.xml" ContentType="application/vnd.ms-excel.controlproperties+xml"/>
  <Override PartName="/xl/drawings/drawing9.xml" ContentType="application/vnd.openxmlformats-officedocument.drawing+xml"/>
  <Override PartName="/xl/ctrlProps/ctrlProp8.xml" ContentType="application/vnd.ms-excel.controlproperties+xml"/>
  <Override PartName="/xl/drawings/drawing10.xml" ContentType="application/vnd.openxmlformats-officedocument.drawing+xml"/>
  <Override PartName="/xl/ctrlProps/ctrlProp9.xml" ContentType="application/vnd.ms-excel.controlproperties+xml"/>
  <Override PartName="/xl/drawings/drawing11.xml" ContentType="application/vnd.openxmlformats-officedocument.drawing+xml"/>
  <Override PartName="/xl/ctrlProps/ctrlProp10.xml" ContentType="application/vnd.ms-excel.controlpropertie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USER\OneDrive\Desktop\10alytics\PROJECTS\Peak&amp;Light Financial Model\"/>
    </mc:Choice>
  </mc:AlternateContent>
  <bookViews>
    <workbookView xWindow="0" yWindow="0" windowWidth="20490" windowHeight="7620" firstSheet="5" activeTab="10"/>
  </bookViews>
  <sheets>
    <sheet name="Cover Page" sheetId="1" r:id="rId1"/>
    <sheet name=" Summary" sheetId="2" r:id="rId2"/>
    <sheet name="Table Of Content" sheetId="3" r:id="rId3"/>
    <sheet name="Dashboard" sheetId="4" r:id="rId4"/>
    <sheet name="Input Data" sheetId="5" r:id="rId5"/>
    <sheet name="Workings" sheetId="6" r:id="rId6"/>
    <sheet name="Income Statement" sheetId="7" r:id="rId7"/>
    <sheet name="Balance Sheet" sheetId="8" r:id="rId8"/>
    <sheet name="Cashflow" sheetId="9" r:id="rId9"/>
    <sheet name="Valuation" sheetId="10" r:id="rId10"/>
    <sheet name="Financial Ratios" sheetId="11" r:id="rId11"/>
    <sheet name="Dataset" sheetId="12" r:id="rId12"/>
    <sheet name="Pivot" sheetId="13" r:id="rId13"/>
  </sheets>
  <definedNames>
    <definedName name="Slicer_Year">#N/A</definedName>
  </definedNames>
  <calcPr calcId="162913"/>
  <pivotCaches>
    <pivotCache cacheId="42" r:id="rId14"/>
  </pivotCaches>
  <extLs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47" i="10" l="1"/>
  <c r="J29" i="9"/>
  <c r="J24" i="9"/>
  <c r="N22" i="9"/>
  <c r="M22" i="9"/>
  <c r="L22" i="9"/>
  <c r="K22" i="9"/>
  <c r="K3" i="9"/>
  <c r="L3" i="9" s="1"/>
  <c r="M3" i="9" s="1"/>
  <c r="N3" i="9" s="1"/>
  <c r="J3" i="9"/>
  <c r="K3" i="8"/>
  <c r="L3" i="8" s="1"/>
  <c r="M3" i="8" s="1"/>
  <c r="N3" i="8" s="1"/>
  <c r="O3" i="8" s="1"/>
  <c r="J3" i="7"/>
  <c r="K3" i="7" s="1"/>
  <c r="L3" i="7" s="1"/>
  <c r="M3" i="7" s="1"/>
  <c r="I3" i="7"/>
  <c r="J123" i="6"/>
  <c r="J121" i="6"/>
  <c r="I117" i="6"/>
  <c r="K106" i="6" s="1"/>
  <c r="I46" i="10" s="1"/>
  <c r="O52" i="6"/>
  <c r="N52" i="6"/>
  <c r="M52" i="6"/>
  <c r="L52" i="6"/>
  <c r="K52" i="6"/>
  <c r="L62" i="6" s="1"/>
  <c r="O51" i="6"/>
  <c r="N51" i="6"/>
  <c r="M51" i="6"/>
  <c r="L51" i="6"/>
  <c r="K51" i="6"/>
  <c r="O50" i="6"/>
  <c r="N50" i="6"/>
  <c r="M50" i="6"/>
  <c r="L50" i="6"/>
  <c r="K50" i="6"/>
  <c r="O49" i="6"/>
  <c r="N49" i="6"/>
  <c r="M49" i="6"/>
  <c r="L49" i="6"/>
  <c r="L59" i="6" s="1"/>
  <c r="K49" i="6"/>
  <c r="O48" i="6"/>
  <c r="N48" i="6"/>
  <c r="M48" i="6"/>
  <c r="L48" i="6"/>
  <c r="K48" i="6"/>
  <c r="L58" i="6" s="1"/>
  <c r="O47" i="6"/>
  <c r="N47" i="6"/>
  <c r="M47" i="6"/>
  <c r="L47" i="6"/>
  <c r="K47" i="6"/>
  <c r="O46" i="6"/>
  <c r="N46" i="6"/>
  <c r="M46" i="6"/>
  <c r="L46" i="6"/>
  <c r="K46" i="6"/>
  <c r="L56" i="6" s="1"/>
  <c r="O40" i="6"/>
  <c r="N40" i="6"/>
  <c r="M40" i="6"/>
  <c r="L40" i="6"/>
  <c r="O39" i="6"/>
  <c r="N39" i="6"/>
  <c r="M39" i="6"/>
  <c r="L39" i="6"/>
  <c r="K39" i="6"/>
  <c r="O38" i="6"/>
  <c r="N38" i="6"/>
  <c r="M38" i="6"/>
  <c r="L38" i="6"/>
  <c r="K38" i="6"/>
  <c r="O37" i="6"/>
  <c r="N37" i="6"/>
  <c r="M37" i="6"/>
  <c r="L37" i="6"/>
  <c r="K37" i="6"/>
  <c r="O36" i="6"/>
  <c r="N36" i="6"/>
  <c r="M36" i="6"/>
  <c r="L36" i="6"/>
  <c r="K36" i="6"/>
  <c r="O35" i="6"/>
  <c r="N35" i="6"/>
  <c r="M35" i="6"/>
  <c r="L35" i="6"/>
  <c r="O33" i="6"/>
  <c r="N33" i="6"/>
  <c r="M33" i="6"/>
  <c r="L33" i="6"/>
  <c r="K33" i="6"/>
  <c r="O31" i="6"/>
  <c r="N31" i="6"/>
  <c r="M31" i="6"/>
  <c r="L31" i="6"/>
  <c r="K31" i="6"/>
  <c r="O30" i="6"/>
  <c r="N30" i="6"/>
  <c r="M30" i="6"/>
  <c r="L30" i="6"/>
  <c r="K30" i="6"/>
  <c r="O29" i="6"/>
  <c r="N29" i="6"/>
  <c r="M29" i="6"/>
  <c r="L29" i="6"/>
  <c r="K29" i="6"/>
  <c r="O28" i="6"/>
  <c r="N28" i="6"/>
  <c r="M28" i="6"/>
  <c r="L28" i="6"/>
  <c r="K28" i="6"/>
  <c r="O27" i="6"/>
  <c r="N27" i="6"/>
  <c r="M27" i="6"/>
  <c r="L27" i="6"/>
  <c r="K27" i="6"/>
  <c r="O26" i="6"/>
  <c r="N26" i="6"/>
  <c r="M26" i="6"/>
  <c r="L26" i="6"/>
  <c r="K26" i="6"/>
  <c r="O25" i="6"/>
  <c r="N25" i="6"/>
  <c r="M25" i="6"/>
  <c r="L25" i="6"/>
  <c r="K25" i="6"/>
  <c r="O24" i="6"/>
  <c r="N24" i="6"/>
  <c r="M24" i="6"/>
  <c r="L24" i="6"/>
  <c r="K24" i="6"/>
  <c r="K7" i="6"/>
  <c r="K6" i="6"/>
  <c r="K3" i="6"/>
  <c r="L3" i="6" s="1"/>
  <c r="M3" i="6" s="1"/>
  <c r="N3" i="6" s="1"/>
  <c r="O3" i="6" s="1"/>
  <c r="L120" i="5"/>
  <c r="L114" i="5"/>
  <c r="L115" i="5" s="1"/>
  <c r="I109" i="5"/>
  <c r="J103" i="5"/>
  <c r="J97" i="5"/>
  <c r="J91" i="5"/>
  <c r="J85" i="5"/>
  <c r="J79" i="5"/>
  <c r="J73" i="5"/>
  <c r="M26" i="5"/>
  <c r="M25" i="5"/>
  <c r="N25" i="5" s="1"/>
  <c r="M6" i="6" s="1"/>
  <c r="L4" i="5"/>
  <c r="M4" i="5" s="1"/>
  <c r="N4" i="5" s="1"/>
  <c r="O4" i="5" s="1"/>
  <c r="P4" i="5" s="1"/>
  <c r="H10" i="2"/>
  <c r="I10" i="2" s="1"/>
  <c r="J10" i="2" s="1"/>
  <c r="K10" i="2" s="1"/>
  <c r="G38" i="13"/>
  <c r="H38" i="13"/>
  <c r="I38" i="13"/>
  <c r="O53" i="6" l="1"/>
  <c r="N53" i="6"/>
  <c r="N58" i="6"/>
  <c r="N60" i="6"/>
  <c r="O61" i="6"/>
  <c r="O62" i="6"/>
  <c r="L53" i="6"/>
  <c r="L57" i="6"/>
  <c r="N61" i="6"/>
  <c r="M59" i="6"/>
  <c r="L61" i="6"/>
  <c r="K57" i="6"/>
  <c r="K68" i="6" s="1"/>
  <c r="M60" i="6"/>
  <c r="N32" i="6"/>
  <c r="H19" i="12" s="1"/>
  <c r="O59" i="6"/>
  <c r="M58" i="6"/>
  <c r="N62" i="6"/>
  <c r="K85" i="6"/>
  <c r="K40" i="6"/>
  <c r="L6" i="6"/>
  <c r="J37" i="10"/>
  <c r="M37" i="10"/>
  <c r="I37" i="10"/>
  <c r="L37" i="10"/>
  <c r="L9" i="10"/>
  <c r="M17" i="9"/>
  <c r="M19" i="9" s="1"/>
  <c r="J32" i="2" s="1"/>
  <c r="L28" i="10"/>
  <c r="L68" i="6"/>
  <c r="K37" i="10"/>
  <c r="O25" i="5"/>
  <c r="K8" i="6"/>
  <c r="M32" i="6"/>
  <c r="L32" i="6"/>
  <c r="J28" i="10"/>
  <c r="K17" i="9"/>
  <c r="K19" i="9" s="1"/>
  <c r="H32" i="2" s="1"/>
  <c r="J9" i="10"/>
  <c r="K32" i="6"/>
  <c r="O32" i="6"/>
  <c r="N56" i="6"/>
  <c r="K53" i="6"/>
  <c r="M28" i="10"/>
  <c r="N17" i="9"/>
  <c r="N19" i="9" s="1"/>
  <c r="K32" i="2" s="1"/>
  <c r="M53" i="6"/>
  <c r="M56" i="6"/>
  <c r="N57" i="6"/>
  <c r="N59" i="6"/>
  <c r="O60" i="6"/>
  <c r="L7" i="6"/>
  <c r="N26" i="5"/>
  <c r="M57" i="6"/>
  <c r="M61" i="6"/>
  <c r="O56" i="6"/>
  <c r="O57" i="6"/>
  <c r="O58" i="6"/>
  <c r="K60" i="6"/>
  <c r="K71" i="6" s="1"/>
  <c r="K61" i="6"/>
  <c r="K72" i="6" s="1"/>
  <c r="L72" i="6" s="1"/>
  <c r="K62" i="6"/>
  <c r="K73" i="6" s="1"/>
  <c r="L73" i="6" s="1"/>
  <c r="M9" i="10"/>
  <c r="K56" i="6"/>
  <c r="K58" i="6"/>
  <c r="K69" i="6" s="1"/>
  <c r="L69" i="6" s="1"/>
  <c r="M69" i="6" s="1"/>
  <c r="N69" i="6" s="1"/>
  <c r="L60" i="6"/>
  <c r="L63" i="6" s="1"/>
  <c r="J14" i="7" s="1"/>
  <c r="M62" i="6"/>
  <c r="K59" i="6"/>
  <c r="K70" i="6" s="1"/>
  <c r="L70" i="6" s="1"/>
  <c r="M70" i="6" s="1"/>
  <c r="N70" i="6" s="1"/>
  <c r="O70" i="6" s="1"/>
  <c r="L71" i="6" l="1"/>
  <c r="M71" i="6" s="1"/>
  <c r="N71" i="6" s="1"/>
  <c r="O71" i="6" s="1"/>
  <c r="N63" i="6"/>
  <c r="L14" i="7" s="1"/>
  <c r="J7" i="10"/>
  <c r="K7" i="9"/>
  <c r="H14" i="12"/>
  <c r="J26" i="10"/>
  <c r="K63" i="6"/>
  <c r="I14" i="7" s="1"/>
  <c r="K67" i="6"/>
  <c r="I28" i="10"/>
  <c r="I9" i="10"/>
  <c r="K77" i="6"/>
  <c r="K83" i="6"/>
  <c r="J17" i="9"/>
  <c r="J19" i="9" s="1"/>
  <c r="G32" i="2" s="1"/>
  <c r="K9" i="10"/>
  <c r="L17" i="9"/>
  <c r="L19" i="9" s="1"/>
  <c r="I32" i="2" s="1"/>
  <c r="K28" i="10"/>
  <c r="L26" i="10"/>
  <c r="M7" i="9"/>
  <c r="L7" i="10"/>
  <c r="H20" i="12"/>
  <c r="H16" i="12"/>
  <c r="P25" i="5"/>
  <c r="O6" i="6" s="1"/>
  <c r="N6" i="6"/>
  <c r="M73" i="6"/>
  <c r="N73" i="6" s="1"/>
  <c r="O73" i="6" s="1"/>
  <c r="H22" i="12"/>
  <c r="K16" i="6"/>
  <c r="I4" i="7"/>
  <c r="K15" i="6"/>
  <c r="K10" i="6"/>
  <c r="K11" i="6" s="1"/>
  <c r="K34" i="6"/>
  <c r="H12" i="12" s="1"/>
  <c r="M68" i="6"/>
  <c r="N68" i="6" s="1"/>
  <c r="O68" i="6" s="1"/>
  <c r="M63" i="6"/>
  <c r="K14" i="7" s="1"/>
  <c r="H13" i="12"/>
  <c r="O69" i="6"/>
  <c r="M72" i="6"/>
  <c r="N72" i="6" s="1"/>
  <c r="O72" i="6" s="1"/>
  <c r="O63" i="6"/>
  <c r="M14" i="7" s="1"/>
  <c r="M7" i="6"/>
  <c r="M8" i="6" s="1"/>
  <c r="O26" i="5"/>
  <c r="H10" i="12"/>
  <c r="L8" i="6"/>
  <c r="P26" i="5" l="1"/>
  <c r="O7" i="6" s="1"/>
  <c r="O8" i="6" s="1"/>
  <c r="N7" i="6"/>
  <c r="N8" i="6" s="1"/>
  <c r="J4" i="7"/>
  <c r="L15" i="6"/>
  <c r="L34" i="6"/>
  <c r="L16" i="6"/>
  <c r="L10" i="6"/>
  <c r="L11" i="6" s="1"/>
  <c r="D5" i="12"/>
  <c r="G12" i="2"/>
  <c r="K74" i="6"/>
  <c r="K78" i="6" s="1"/>
  <c r="K8" i="8" s="1"/>
  <c r="L67" i="6"/>
  <c r="K19" i="6"/>
  <c r="K17" i="6"/>
  <c r="K4" i="7"/>
  <c r="M34" i="6"/>
  <c r="M15" i="6"/>
  <c r="M16" i="6"/>
  <c r="M10" i="6"/>
  <c r="M11" i="6" s="1"/>
  <c r="K41" i="6"/>
  <c r="H23" i="12"/>
  <c r="M7" i="10"/>
  <c r="N7" i="9"/>
  <c r="M26" i="10"/>
  <c r="K26" i="10"/>
  <c r="H17" i="12"/>
  <c r="K7" i="10"/>
  <c r="L7" i="9"/>
  <c r="K79" i="6"/>
  <c r="L77" i="6"/>
  <c r="K7" i="8"/>
  <c r="K9" i="8" s="1"/>
  <c r="H11" i="12"/>
  <c r="I7" i="10"/>
  <c r="J7" i="9"/>
  <c r="I26" i="10"/>
  <c r="K87" i="6" l="1"/>
  <c r="I10" i="7"/>
  <c r="G15" i="2" s="1"/>
  <c r="N10" i="6"/>
  <c r="N11" i="6" s="1"/>
  <c r="L4" i="7"/>
  <c r="N34" i="6"/>
  <c r="N16" i="6"/>
  <c r="N15" i="6"/>
  <c r="L7" i="8"/>
  <c r="M77" i="6"/>
  <c r="H18" i="12"/>
  <c r="M41" i="6"/>
  <c r="K10" i="7" s="1"/>
  <c r="I15" i="2" s="1"/>
  <c r="L74" i="6"/>
  <c r="L78" i="6" s="1"/>
  <c r="L8" i="8" s="1"/>
  <c r="M67" i="6"/>
  <c r="D6" i="12"/>
  <c r="H12" i="2"/>
  <c r="L19" i="6"/>
  <c r="L17" i="6"/>
  <c r="D7" i="12"/>
  <c r="I12" i="2"/>
  <c r="G21" i="2"/>
  <c r="K95" i="6"/>
  <c r="K25" i="8" s="1"/>
  <c r="O16" i="6"/>
  <c r="O15" i="6"/>
  <c r="O10" i="6"/>
  <c r="O11" i="6" s="1"/>
  <c r="M4" i="7"/>
  <c r="O34" i="6"/>
  <c r="M19" i="6"/>
  <c r="M17" i="6"/>
  <c r="I6" i="7"/>
  <c r="K86" i="6"/>
  <c r="K88" i="6" s="1"/>
  <c r="K20" i="6"/>
  <c r="K12" i="8" s="1"/>
  <c r="H15" i="12"/>
  <c r="L41" i="6"/>
  <c r="J10" i="7" s="1"/>
  <c r="H15" i="2" s="1"/>
  <c r="D9" i="12" l="1"/>
  <c r="K12" i="2"/>
  <c r="J6" i="7"/>
  <c r="L20" i="6"/>
  <c r="L12" i="8" s="1"/>
  <c r="K10" i="9" s="1"/>
  <c r="D8" i="12"/>
  <c r="J12" i="2"/>
  <c r="M20" i="6"/>
  <c r="M12" i="8" s="1"/>
  <c r="K6" i="7"/>
  <c r="J11" i="9"/>
  <c r="L95" i="6"/>
  <c r="L25" i="8" s="1"/>
  <c r="K25" i="11" s="1"/>
  <c r="K26" i="11" s="1"/>
  <c r="N67" i="6"/>
  <c r="M74" i="6"/>
  <c r="M78" i="6" s="1"/>
  <c r="M8" i="8" s="1"/>
  <c r="M7" i="8"/>
  <c r="N77" i="6"/>
  <c r="E5" i="12"/>
  <c r="J22" i="11"/>
  <c r="J23" i="11" s="1"/>
  <c r="G13" i="2"/>
  <c r="I8" i="7"/>
  <c r="M95" i="6"/>
  <c r="M25" i="8" s="1"/>
  <c r="L25" i="11" s="1"/>
  <c r="L26" i="11" s="1"/>
  <c r="J25" i="11"/>
  <c r="J26" i="11" s="1"/>
  <c r="L79" i="6"/>
  <c r="N17" i="6"/>
  <c r="N19" i="6"/>
  <c r="J10" i="9"/>
  <c r="K90" i="6"/>
  <c r="K91" i="6" s="1"/>
  <c r="H24" i="12"/>
  <c r="O41" i="6"/>
  <c r="M10" i="7" s="1"/>
  <c r="K15" i="2" s="1"/>
  <c r="O19" i="6"/>
  <c r="O17" i="6"/>
  <c r="L9" i="8"/>
  <c r="H21" i="12"/>
  <c r="N41" i="6"/>
  <c r="L10" i="7" s="1"/>
  <c r="J15" i="2" s="1"/>
  <c r="J23" i="9" l="1"/>
  <c r="K110" i="6"/>
  <c r="H21" i="2"/>
  <c r="O77" i="6"/>
  <c r="N7" i="8"/>
  <c r="F5" i="12"/>
  <c r="G14" i="2"/>
  <c r="J5" i="11"/>
  <c r="I12" i="7"/>
  <c r="N74" i="6"/>
  <c r="N78" i="6" s="1"/>
  <c r="N8" i="8" s="1"/>
  <c r="O67" i="6"/>
  <c r="O74" i="6" s="1"/>
  <c r="O78" i="6" s="1"/>
  <c r="O8" i="8" s="1"/>
  <c r="M6" i="7"/>
  <c r="O20" i="6"/>
  <c r="O12" i="8" s="1"/>
  <c r="M79" i="6"/>
  <c r="E7" i="12"/>
  <c r="L22" i="11"/>
  <c r="L23" i="11" s="1"/>
  <c r="L28" i="11" s="1"/>
  <c r="I13" i="2"/>
  <c r="K8" i="7"/>
  <c r="I8" i="10"/>
  <c r="I27" i="10"/>
  <c r="L6" i="7"/>
  <c r="N20" i="6"/>
  <c r="N12" i="8" s="1"/>
  <c r="M10" i="9" s="1"/>
  <c r="E6" i="12"/>
  <c r="K22" i="11"/>
  <c r="K23" i="11" s="1"/>
  <c r="K28" i="11" s="1"/>
  <c r="H13" i="2"/>
  <c r="J8" i="7"/>
  <c r="O95" i="6"/>
  <c r="O25" i="8" s="1"/>
  <c r="J22" i="9"/>
  <c r="M19" i="8"/>
  <c r="K19" i="8"/>
  <c r="K107" i="6"/>
  <c r="O19" i="8"/>
  <c r="N19" i="8"/>
  <c r="G6" i="2"/>
  <c r="L19" i="8"/>
  <c r="K92" i="6"/>
  <c r="N95" i="6"/>
  <c r="N25" i="8" s="1"/>
  <c r="L11" i="9"/>
  <c r="J28" i="11"/>
  <c r="M9" i="8"/>
  <c r="K11" i="9"/>
  <c r="J8" i="10" s="1"/>
  <c r="L10" i="9"/>
  <c r="J26" i="9" l="1"/>
  <c r="G33" i="2" s="1"/>
  <c r="K27" i="10"/>
  <c r="K8" i="10"/>
  <c r="M11" i="9"/>
  <c r="L8" i="10" s="1"/>
  <c r="J6" i="11"/>
  <c r="G39" i="2" s="1"/>
  <c r="I16" i="7"/>
  <c r="I5" i="12"/>
  <c r="G16" i="2"/>
  <c r="N9" i="8"/>
  <c r="J27" i="10"/>
  <c r="I21" i="2"/>
  <c r="L27" i="10"/>
  <c r="M25" i="11"/>
  <c r="M26" i="11" s="1"/>
  <c r="J12" i="7"/>
  <c r="K5" i="11"/>
  <c r="F6" i="12"/>
  <c r="H14" i="2"/>
  <c r="N10" i="9"/>
  <c r="L5" i="11"/>
  <c r="K12" i="7"/>
  <c r="F7" i="12"/>
  <c r="I14" i="2"/>
  <c r="E9" i="12"/>
  <c r="K13" i="2"/>
  <c r="N22" i="11"/>
  <c r="N23" i="11" s="1"/>
  <c r="M8" i="7"/>
  <c r="K5" i="12"/>
  <c r="G38" i="2"/>
  <c r="N79" i="6"/>
  <c r="K112" i="6"/>
  <c r="L112" i="6" s="1"/>
  <c r="N11" i="9"/>
  <c r="N25" i="11"/>
  <c r="N26" i="11" s="1"/>
  <c r="E8" i="12"/>
  <c r="M22" i="11"/>
  <c r="M23" i="11" s="1"/>
  <c r="J13" i="2"/>
  <c r="L8" i="7"/>
  <c r="O7" i="8"/>
  <c r="O9" i="8" s="1"/>
  <c r="O79" i="6"/>
  <c r="L107" i="6" l="1"/>
  <c r="K104" i="6"/>
  <c r="I44" i="10" s="1"/>
  <c r="K17" i="10" s="1"/>
  <c r="L110" i="6"/>
  <c r="N28" i="11"/>
  <c r="K6" i="11"/>
  <c r="H39" i="2" s="1"/>
  <c r="H16" i="2"/>
  <c r="I6" i="12"/>
  <c r="J16" i="7"/>
  <c r="I18" i="7"/>
  <c r="G17" i="2"/>
  <c r="N5" i="11"/>
  <c r="F9" i="12"/>
  <c r="M12" i="7"/>
  <c r="K14" i="2"/>
  <c r="M8" i="10"/>
  <c r="M27" i="10"/>
  <c r="M28" i="11"/>
  <c r="L6" i="11"/>
  <c r="I39" i="2" s="1"/>
  <c r="I7" i="12"/>
  <c r="K16" i="7"/>
  <c r="I16" i="2"/>
  <c r="J21" i="2"/>
  <c r="K6" i="12"/>
  <c r="H38" i="2"/>
  <c r="K21" i="2"/>
  <c r="M5" i="11"/>
  <c r="J14" i="2"/>
  <c r="L12" i="7"/>
  <c r="F8" i="12"/>
  <c r="K7" i="12"/>
  <c r="I38" i="2"/>
  <c r="J17" i="10" l="1"/>
  <c r="M17" i="10"/>
  <c r="L17" i="10"/>
  <c r="I17" i="10"/>
  <c r="K8" i="12"/>
  <c r="J38" i="2"/>
  <c r="M16" i="7"/>
  <c r="I9" i="12"/>
  <c r="N6" i="11"/>
  <c r="K39" i="2" s="1"/>
  <c r="K16" i="2"/>
  <c r="I25" i="10"/>
  <c r="I30" i="10" s="1"/>
  <c r="I34" i="10" s="1"/>
  <c r="I39" i="10" s="1"/>
  <c r="J5" i="12"/>
  <c r="J7" i="11"/>
  <c r="J5" i="9"/>
  <c r="J8" i="9" s="1"/>
  <c r="J12" i="9" s="1"/>
  <c r="J14" i="9" s="1"/>
  <c r="K99" i="6"/>
  <c r="K100" i="6" s="1"/>
  <c r="I6" i="10"/>
  <c r="I11" i="10" s="1"/>
  <c r="G18" i="2"/>
  <c r="L16" i="7"/>
  <c r="M6" i="11"/>
  <c r="J39" i="2" s="1"/>
  <c r="I8" i="12"/>
  <c r="J16" i="2"/>
  <c r="K9" i="12"/>
  <c r="K38" i="2"/>
  <c r="K18" i="7"/>
  <c r="I17" i="2"/>
  <c r="J18" i="7"/>
  <c r="H17" i="2"/>
  <c r="J28" i="9" l="1"/>
  <c r="J30" i="9" s="1"/>
  <c r="G31" i="2"/>
  <c r="K17" i="2"/>
  <c r="M18" i="7"/>
  <c r="L5" i="12"/>
  <c r="G40" i="2"/>
  <c r="K26" i="8"/>
  <c r="K28" i="8" s="1"/>
  <c r="I20" i="7"/>
  <c r="K6" i="10"/>
  <c r="K11" i="10" s="1"/>
  <c r="L5" i="9"/>
  <c r="L8" i="9" s="1"/>
  <c r="L12" i="9" s="1"/>
  <c r="L14" i="9" s="1"/>
  <c r="J7" i="12"/>
  <c r="L7" i="11"/>
  <c r="K25" i="10"/>
  <c r="K30" i="10" s="1"/>
  <c r="K34" i="10" s="1"/>
  <c r="K39" i="10" s="1"/>
  <c r="M99" i="6"/>
  <c r="M100" i="6" s="1"/>
  <c r="I18" i="2"/>
  <c r="I14" i="10"/>
  <c r="I19" i="10" s="1"/>
  <c r="G35" i="2"/>
  <c r="K7" i="11"/>
  <c r="J6" i="12"/>
  <c r="J6" i="10"/>
  <c r="J11" i="10" s="1"/>
  <c r="K5" i="9"/>
  <c r="K8" i="9" s="1"/>
  <c r="K12" i="9" s="1"/>
  <c r="K14" i="9" s="1"/>
  <c r="L99" i="6"/>
  <c r="L100" i="6" s="1"/>
  <c r="H18" i="2"/>
  <c r="J25" i="10"/>
  <c r="J30" i="10" s="1"/>
  <c r="J34" i="10" s="1"/>
  <c r="J39" i="10" s="1"/>
  <c r="L18" i="7"/>
  <c r="J17" i="2"/>
  <c r="L26" i="8" l="1"/>
  <c r="L28" i="8" s="1"/>
  <c r="J20" i="7"/>
  <c r="J14" i="10"/>
  <c r="J19" i="10" s="1"/>
  <c r="H35" i="2"/>
  <c r="K30" i="8"/>
  <c r="G27" i="2"/>
  <c r="L7" i="12"/>
  <c r="I40" i="2"/>
  <c r="K29" i="9"/>
  <c r="K13" i="8"/>
  <c r="K14" i="8" s="1"/>
  <c r="G34" i="2"/>
  <c r="J8" i="12"/>
  <c r="L25" i="10"/>
  <c r="L30" i="10" s="1"/>
  <c r="L34" i="10" s="1"/>
  <c r="L39" i="10" s="1"/>
  <c r="M7" i="11"/>
  <c r="N99" i="6"/>
  <c r="N100" i="6" s="1"/>
  <c r="L6" i="10"/>
  <c r="L11" i="10" s="1"/>
  <c r="J18" i="2"/>
  <c r="M5" i="9"/>
  <c r="M8" i="9" s="1"/>
  <c r="M12" i="9" s="1"/>
  <c r="M14" i="9" s="1"/>
  <c r="I31" i="2"/>
  <c r="L6" i="12"/>
  <c r="H40" i="2"/>
  <c r="M26" i="8"/>
  <c r="M28" i="8" s="1"/>
  <c r="K20" i="7"/>
  <c r="K14" i="10"/>
  <c r="K19" i="10" s="1"/>
  <c r="I35" i="2"/>
  <c r="H31" i="2"/>
  <c r="K24" i="9"/>
  <c r="K26" i="9" s="1"/>
  <c r="H33" i="2" s="1"/>
  <c r="I22" i="7"/>
  <c r="I24" i="7" s="1"/>
  <c r="M25" i="10"/>
  <c r="M30" i="10" s="1"/>
  <c r="J9" i="12"/>
  <c r="N7" i="11"/>
  <c r="O99" i="6"/>
  <c r="O100" i="6" s="1"/>
  <c r="M6" i="10"/>
  <c r="M11" i="10" s="1"/>
  <c r="N5" i="9"/>
  <c r="N8" i="9" s="1"/>
  <c r="N12" i="9" s="1"/>
  <c r="N14" i="9" s="1"/>
  <c r="K18" i="2"/>
  <c r="K28" i="9" l="1"/>
  <c r="K30" i="9" s="1"/>
  <c r="L13" i="8" s="1"/>
  <c r="K31" i="2"/>
  <c r="L9" i="12"/>
  <c r="K40" i="2"/>
  <c r="L14" i="10"/>
  <c r="L19" i="10" s="1"/>
  <c r="J35" i="2"/>
  <c r="J31" i="2"/>
  <c r="N26" i="8"/>
  <c r="N28" i="8" s="1"/>
  <c r="L20" i="7"/>
  <c r="L30" i="8"/>
  <c r="H27" i="2"/>
  <c r="O26" i="8"/>
  <c r="O28" i="8" s="1"/>
  <c r="M20" i="7"/>
  <c r="M22" i="7" s="1"/>
  <c r="I27" i="2"/>
  <c r="M30" i="8"/>
  <c r="K20" i="8"/>
  <c r="K21" i="8" s="1"/>
  <c r="K32" i="8" s="1"/>
  <c r="G28" i="2" s="1"/>
  <c r="J15" i="11"/>
  <c r="G46" i="2" s="1"/>
  <c r="L24" i="9"/>
  <c r="L26" i="9" s="1"/>
  <c r="J22" i="7"/>
  <c r="J24" i="7" s="1"/>
  <c r="M12" i="10"/>
  <c r="M14" i="10" s="1"/>
  <c r="M19" i="10" s="1"/>
  <c r="K35" i="2"/>
  <c r="M34" i="10"/>
  <c r="M39" i="10" s="1"/>
  <c r="I41" i="10" s="1"/>
  <c r="G8" i="2" s="1"/>
  <c r="M32" i="10"/>
  <c r="M24" i="9"/>
  <c r="M26" i="9" s="1"/>
  <c r="J33" i="2" s="1"/>
  <c r="K22" i="7"/>
  <c r="L8" i="12"/>
  <c r="J40" i="2"/>
  <c r="H34" i="2" l="1"/>
  <c r="L29" i="9"/>
  <c r="I21" i="10"/>
  <c r="G7" i="2" s="1"/>
  <c r="M28" i="9"/>
  <c r="L20" i="8"/>
  <c r="L21" i="8" s="1"/>
  <c r="L32" i="8" s="1"/>
  <c r="H28" i="2" s="1"/>
  <c r="K24" i="7"/>
  <c r="I33" i="2"/>
  <c r="L28" i="9"/>
  <c r="O30" i="8"/>
  <c r="K27" i="2"/>
  <c r="J9" i="11"/>
  <c r="N24" i="9"/>
  <c r="N26" i="9" s="1"/>
  <c r="L22" i="7"/>
  <c r="J14" i="11"/>
  <c r="G45" i="2" s="1"/>
  <c r="J13" i="11"/>
  <c r="G44" i="2" s="1"/>
  <c r="G22" i="2"/>
  <c r="K16" i="8"/>
  <c r="N30" i="8"/>
  <c r="J27" i="2"/>
  <c r="K15" i="11"/>
  <c r="H46" i="2" s="1"/>
  <c r="L14" i="8"/>
  <c r="L30" i="9" l="1"/>
  <c r="M29" i="9" s="1"/>
  <c r="M30" i="9" s="1"/>
  <c r="G23" i="2"/>
  <c r="G24" i="2"/>
  <c r="J10" i="11"/>
  <c r="G42" i="2" s="1"/>
  <c r="K33" i="2"/>
  <c r="N28" i="9"/>
  <c r="M5" i="12"/>
  <c r="G41" i="2"/>
  <c r="M20" i="8"/>
  <c r="M21" i="8" s="1"/>
  <c r="L24" i="7"/>
  <c r="K14" i="11"/>
  <c r="H45" i="2" s="1"/>
  <c r="K13" i="11"/>
  <c r="H44" i="2" s="1"/>
  <c r="H22" i="2"/>
  <c r="L16" i="8"/>
  <c r="K18" i="11" s="1"/>
  <c r="H43" i="2" s="1"/>
  <c r="J18" i="11"/>
  <c r="G43" i="2" s="1"/>
  <c r="M13" i="8"/>
  <c r="I34" i="2"/>
  <c r="K9" i="11"/>
  <c r="H24" i="2" l="1"/>
  <c r="H23" i="2"/>
  <c r="K10" i="11"/>
  <c r="H42" i="2" s="1"/>
  <c r="L15" i="11"/>
  <c r="I46" i="2" s="1"/>
  <c r="M14" i="8"/>
  <c r="M24" i="7"/>
  <c r="O20" i="8" s="1"/>
  <c r="O21" i="8" s="1"/>
  <c r="N20" i="8"/>
  <c r="N21" i="8" s="1"/>
  <c r="M6" i="12"/>
  <c r="H41" i="2"/>
  <c r="N29" i="9"/>
  <c r="N30" i="9" s="1"/>
  <c r="N13" i="8"/>
  <c r="J34" i="2"/>
  <c r="L9" i="11"/>
  <c r="M32" i="8"/>
  <c r="I28" i="2" s="1"/>
  <c r="K34" i="2" l="1"/>
  <c r="O13" i="8"/>
  <c r="M9" i="11"/>
  <c r="N32" i="8"/>
  <c r="J28" i="2" s="1"/>
  <c r="M15" i="11"/>
  <c r="J46" i="2" s="1"/>
  <c r="N14" i="8"/>
  <c r="M7" i="12"/>
  <c r="I41" i="2"/>
  <c r="N9" i="11"/>
  <c r="O32" i="8"/>
  <c r="K28" i="2" s="1"/>
  <c r="L13" i="11"/>
  <c r="I44" i="2" s="1"/>
  <c r="I22" i="2"/>
  <c r="L14" i="11"/>
  <c r="I45" i="2" s="1"/>
  <c r="M16" i="8"/>
  <c r="I24" i="2" l="1"/>
  <c r="I23" i="2"/>
  <c r="L10" i="11"/>
  <c r="I42" i="2" s="1"/>
  <c r="L18" i="11"/>
  <c r="I43" i="2" s="1"/>
  <c r="M8" i="12"/>
  <c r="J41" i="2"/>
  <c r="M9" i="12"/>
  <c r="K41" i="2"/>
  <c r="M13" i="11"/>
  <c r="J44" i="2" s="1"/>
  <c r="M14" i="11"/>
  <c r="J45" i="2" s="1"/>
  <c r="J22" i="2"/>
  <c r="N16" i="8"/>
  <c r="N15" i="11"/>
  <c r="K46" i="2" s="1"/>
  <c r="O14" i="8"/>
  <c r="J24" i="2" l="1"/>
  <c r="J23" i="2"/>
  <c r="M10" i="11"/>
  <c r="J42" i="2" s="1"/>
  <c r="M18" i="11"/>
  <c r="J43" i="2" s="1"/>
  <c r="N14" i="11"/>
  <c r="K45" i="2" s="1"/>
  <c r="N13" i="11"/>
  <c r="K44" i="2" s="1"/>
  <c r="K22" i="2"/>
  <c r="O16" i="8"/>
  <c r="K23" i="2" l="1"/>
  <c r="K24" i="2"/>
  <c r="N10" i="11"/>
  <c r="K42" i="2" s="1"/>
  <c r="N18" i="11"/>
  <c r="K43" i="2" s="1"/>
</calcChain>
</file>

<file path=xl/sharedStrings.xml><?xml version="1.0" encoding="utf-8"?>
<sst xmlns="http://schemas.openxmlformats.org/spreadsheetml/2006/main" count="501" uniqueCount="267">
  <si>
    <t>ent</t>
  </si>
  <si>
    <t>Company Name:</t>
  </si>
  <si>
    <t>Sector:</t>
  </si>
  <si>
    <t>The Peak&amp;Light Restaurant</t>
  </si>
  <si>
    <t>Hospitality</t>
  </si>
  <si>
    <t>Equity Investment</t>
  </si>
  <si>
    <t>Enterprise Value</t>
  </si>
  <si>
    <t>Equity Valuation</t>
  </si>
  <si>
    <t>Income Statement</t>
  </si>
  <si>
    <t>Cost Of sales</t>
  </si>
  <si>
    <t>Revenue</t>
  </si>
  <si>
    <t>Gross Profit</t>
  </si>
  <si>
    <t>Operating Expenses</t>
  </si>
  <si>
    <t>Operation Income</t>
  </si>
  <si>
    <t>Profit Before Tax</t>
  </si>
  <si>
    <t>Net Profit</t>
  </si>
  <si>
    <t>Balance Sheet</t>
  </si>
  <si>
    <t>Non-Current Asset</t>
  </si>
  <si>
    <t>Current Asset</t>
  </si>
  <si>
    <t>Total Asset</t>
  </si>
  <si>
    <t>Total Net Asset</t>
  </si>
  <si>
    <t>Total Equity</t>
  </si>
  <si>
    <t>Current Liabilities</t>
  </si>
  <si>
    <t>Total Equity and Liabilities</t>
  </si>
  <si>
    <t>Cash Flow Statement</t>
  </si>
  <si>
    <t>Cash Flow from Operating Activities</t>
  </si>
  <si>
    <t>Cash Flow From Investing Activities</t>
  </si>
  <si>
    <t>Cash Flow From Financing Activities</t>
  </si>
  <si>
    <t>Net Cash Flow</t>
  </si>
  <si>
    <t>Free Cash Flow From Firm</t>
  </si>
  <si>
    <t>Financial Ratios</t>
  </si>
  <si>
    <t>Gross Profit Margin</t>
  </si>
  <si>
    <t>Operating Profit Margin</t>
  </si>
  <si>
    <t>Net Profit Margin</t>
  </si>
  <si>
    <t>Return On Equity</t>
  </si>
  <si>
    <t>Return On Asset</t>
  </si>
  <si>
    <t>Equity Ratio</t>
  </si>
  <si>
    <t>Current Ratio</t>
  </si>
  <si>
    <t>Quick Ratio</t>
  </si>
  <si>
    <t>Cash Ratio</t>
  </si>
  <si>
    <t>TABLE OF CONTENT</t>
  </si>
  <si>
    <t>Scenario:</t>
  </si>
  <si>
    <t xml:space="preserve">Last Updated: </t>
  </si>
  <si>
    <t>SN</t>
  </si>
  <si>
    <t>Details</t>
  </si>
  <si>
    <t>Input Data</t>
  </si>
  <si>
    <t>Workings</t>
  </si>
  <si>
    <t>Summary</t>
  </si>
  <si>
    <t>Cover Page</t>
  </si>
  <si>
    <t>Table Of Content</t>
  </si>
  <si>
    <t>Dashboard</t>
  </si>
  <si>
    <t>Cashflow</t>
  </si>
  <si>
    <t>Valuation</t>
  </si>
  <si>
    <t>Dataset</t>
  </si>
  <si>
    <t>INPUT DATE (ASSUMPTION SHEET)</t>
  </si>
  <si>
    <t>Days Of the Week</t>
  </si>
  <si>
    <t>Weeks</t>
  </si>
  <si>
    <t>Months</t>
  </si>
  <si>
    <t>Quarter</t>
  </si>
  <si>
    <t>Inventory</t>
  </si>
  <si>
    <t>Credit Sales</t>
  </si>
  <si>
    <t>Credit Purchase</t>
  </si>
  <si>
    <t>Tax Rate</t>
  </si>
  <si>
    <t>Long Term Growth Rate</t>
  </si>
  <si>
    <t>Inflation Rate</t>
  </si>
  <si>
    <t>Scenario</t>
  </si>
  <si>
    <t xml:space="preserve">Best Case </t>
  </si>
  <si>
    <t>Base Case</t>
  </si>
  <si>
    <t>Worst Case</t>
  </si>
  <si>
    <t>Food Sales</t>
  </si>
  <si>
    <t>Drink sales</t>
  </si>
  <si>
    <t>Cost Of Sales</t>
  </si>
  <si>
    <t>Food Ingredients</t>
  </si>
  <si>
    <t>Drinks Inventory</t>
  </si>
  <si>
    <t>Packaging</t>
  </si>
  <si>
    <t>Direct Costs</t>
  </si>
  <si>
    <t>Head Chef</t>
  </si>
  <si>
    <t>Kitchen Assistant</t>
  </si>
  <si>
    <t>Cashiers</t>
  </si>
  <si>
    <t>Bar Staff</t>
  </si>
  <si>
    <t>Cleaner</t>
  </si>
  <si>
    <t>Waiters/waitress</t>
  </si>
  <si>
    <t>Overheads</t>
  </si>
  <si>
    <t>Margin</t>
  </si>
  <si>
    <t>NGN</t>
  </si>
  <si>
    <t>Cook</t>
  </si>
  <si>
    <t>Units</t>
  </si>
  <si>
    <t>Revenue Assumption</t>
  </si>
  <si>
    <t>Selling General And Admin EXP (SG&amp;A)</t>
  </si>
  <si>
    <t>Staff Cost</t>
  </si>
  <si>
    <t>Marketing and Promotion</t>
  </si>
  <si>
    <t>Rent</t>
  </si>
  <si>
    <t>Fuel/Diesel</t>
  </si>
  <si>
    <t>Others</t>
  </si>
  <si>
    <t>Manager</t>
  </si>
  <si>
    <t>Transportation</t>
  </si>
  <si>
    <t>Cooking Gas</t>
  </si>
  <si>
    <t>Per Month</t>
  </si>
  <si>
    <t>Per Annum</t>
  </si>
  <si>
    <t>Legal Fees</t>
  </si>
  <si>
    <t>Assets</t>
  </si>
  <si>
    <t>Non-Current Assets</t>
  </si>
  <si>
    <t>Acquisition</t>
  </si>
  <si>
    <t>Equipments</t>
  </si>
  <si>
    <t>USL</t>
  </si>
  <si>
    <t>Scrap</t>
  </si>
  <si>
    <t>Furnitures &amp; Fittings</t>
  </si>
  <si>
    <t xml:space="preserve">Purchase </t>
  </si>
  <si>
    <t>Cost</t>
  </si>
  <si>
    <t>WORKINGS</t>
  </si>
  <si>
    <t xml:space="preserve">Daily </t>
  </si>
  <si>
    <t>Cash Sales</t>
  </si>
  <si>
    <t>Overhead</t>
  </si>
  <si>
    <t>Closing Inventory</t>
  </si>
  <si>
    <t>Selling General And Admin Exp (SG&amp;A)</t>
  </si>
  <si>
    <t>Salvage Value</t>
  </si>
  <si>
    <t>Diesel Genenerator</t>
  </si>
  <si>
    <t>Backup Genenerator</t>
  </si>
  <si>
    <t xml:space="preserve"> Air Condiitoning</t>
  </si>
  <si>
    <t>Freezer &amp; Fridge</t>
  </si>
  <si>
    <t>Microwave</t>
  </si>
  <si>
    <t>Kitchen Equipments and Utensils</t>
  </si>
  <si>
    <t>Depreciation</t>
  </si>
  <si>
    <t>Accumulated Depreciation</t>
  </si>
  <si>
    <t>NBV</t>
  </si>
  <si>
    <t>PPE (NBV)</t>
  </si>
  <si>
    <t>Acc Dep</t>
  </si>
  <si>
    <t>Business Registration</t>
  </si>
  <si>
    <t>Financing</t>
  </si>
  <si>
    <t>CAPEX</t>
  </si>
  <si>
    <t>PRE-OPERATIONAL EXPENSES</t>
  </si>
  <si>
    <t>OPEX</t>
  </si>
  <si>
    <t>Pre-Operational Expenses</t>
  </si>
  <si>
    <t>SG&amp;A</t>
  </si>
  <si>
    <t>Equity</t>
  </si>
  <si>
    <t>Debt</t>
  </si>
  <si>
    <t>total Value</t>
  </si>
  <si>
    <t>Financing Requirements</t>
  </si>
  <si>
    <t>Total Financing</t>
  </si>
  <si>
    <t>Closing Payable Balance</t>
  </si>
  <si>
    <t>Payables</t>
  </si>
  <si>
    <t>INCOME STATEMENT</t>
  </si>
  <si>
    <t>Operating Profit (EBITDA)</t>
  </si>
  <si>
    <t>Depreciation &amp; Amortization</t>
  </si>
  <si>
    <t>Earnings Before Interest &amp; Tax (EBIT)</t>
  </si>
  <si>
    <t>NET Profit</t>
  </si>
  <si>
    <t>Dividend</t>
  </si>
  <si>
    <t>Dividends</t>
  </si>
  <si>
    <t>Cost Of Equity</t>
  </si>
  <si>
    <t>Dividend Payout Ratio</t>
  </si>
  <si>
    <t>Retained Earnings</t>
  </si>
  <si>
    <t>Cummulative Retained Earnings</t>
  </si>
  <si>
    <t>BALANCE SHEET</t>
  </si>
  <si>
    <t>Current Assets</t>
  </si>
  <si>
    <t>PPE</t>
  </si>
  <si>
    <t>Property,Plant And Equipments</t>
  </si>
  <si>
    <t>Accumulated Depreciatoin</t>
  </si>
  <si>
    <t>Net Book Value</t>
  </si>
  <si>
    <t>Cash &amp; Cash Equivalents</t>
  </si>
  <si>
    <t>Total Current Assets</t>
  </si>
  <si>
    <t>TOTAL ASSETS</t>
  </si>
  <si>
    <t xml:space="preserve">Equity </t>
  </si>
  <si>
    <t>Ordinary Shareholders Equity</t>
  </si>
  <si>
    <t>Cummulative Retained Earnigns</t>
  </si>
  <si>
    <t>TOTAL EQUITY</t>
  </si>
  <si>
    <t>Liabilities</t>
  </si>
  <si>
    <t>Account Payables</t>
  </si>
  <si>
    <t>Dividend Payable</t>
  </si>
  <si>
    <t>Total Current Liabilities</t>
  </si>
  <si>
    <t>Total Liabilities</t>
  </si>
  <si>
    <t>Total Equities And Liabilities</t>
  </si>
  <si>
    <t>CASHFLOW STATEMENT</t>
  </si>
  <si>
    <t>Operating Activities</t>
  </si>
  <si>
    <t>Adjustments:</t>
  </si>
  <si>
    <t>Net Profit (Profit After Tax)</t>
  </si>
  <si>
    <t>Cashflow Before Working Adj.</t>
  </si>
  <si>
    <t>Working Capital Adjustment</t>
  </si>
  <si>
    <t>Cashflow After Working Capital Adj.</t>
  </si>
  <si>
    <t>Net Cashflow from Operating Activities</t>
  </si>
  <si>
    <t>Investing Activities</t>
  </si>
  <si>
    <t>Financing Activities</t>
  </si>
  <si>
    <t>Shareholders Equity</t>
  </si>
  <si>
    <t>Proceed From Debt</t>
  </si>
  <si>
    <t>Net Cashflow From Investing Activities</t>
  </si>
  <si>
    <t>Net Cashflow From Financing Activities</t>
  </si>
  <si>
    <t>Net Changes</t>
  </si>
  <si>
    <t>Opening Balance</t>
  </si>
  <si>
    <t>Closing Balance</t>
  </si>
  <si>
    <t>VALUATION</t>
  </si>
  <si>
    <t>Free Cashflow To Firm (FCF)</t>
  </si>
  <si>
    <t>(Unlevered Free Cash Flow)</t>
  </si>
  <si>
    <t>Net Income</t>
  </si>
  <si>
    <t xml:space="preserve">Add:Non-Cash Items </t>
  </si>
  <si>
    <t>Dep. &amp; Amort.</t>
  </si>
  <si>
    <t>Less: Changes in Working Capital</t>
  </si>
  <si>
    <t>Less: CAPEX</t>
  </si>
  <si>
    <t>Free Cashflow To Equity (FCFE)</t>
  </si>
  <si>
    <t>FCFE</t>
  </si>
  <si>
    <t>FCFF</t>
  </si>
  <si>
    <t>WACC</t>
  </si>
  <si>
    <t>WACC (Weighted Average Cost Of Capital)</t>
  </si>
  <si>
    <t>Value OF Equity</t>
  </si>
  <si>
    <t>Cost Of Debt</t>
  </si>
  <si>
    <t>Value Of Debt</t>
  </si>
  <si>
    <t>Total Value</t>
  </si>
  <si>
    <t>((Equity/Equity+Debt)*Cost Of Equity)</t>
  </si>
  <si>
    <t>CAPM</t>
  </si>
  <si>
    <t>Risk Free Rate Of Return + Beta (Market Return - Risk Free rate)</t>
  </si>
  <si>
    <t>Rf+B(Rm - Rf)</t>
  </si>
  <si>
    <t>Where: (Rm - Rf) = Market Premium</t>
  </si>
  <si>
    <t xml:space="preserve">Risk Frree Return = </t>
  </si>
  <si>
    <t>Nigeria 10-Year Government Bond Yield - Quote - Chart - Historical Data - News</t>
  </si>
  <si>
    <t>Beta</t>
  </si>
  <si>
    <t>Market Return</t>
  </si>
  <si>
    <t>RRI</t>
  </si>
  <si>
    <t>Terminal Value</t>
  </si>
  <si>
    <t>Long  Term Growth Rate</t>
  </si>
  <si>
    <t>(FCFF YR5 *(1+Growth Rate)</t>
  </si>
  <si>
    <t>WACC-Growth Rate</t>
  </si>
  <si>
    <t xml:space="preserve">Discounting Factor </t>
  </si>
  <si>
    <t>(1+wacc)^-n</t>
  </si>
  <si>
    <t>Total FCFF</t>
  </si>
  <si>
    <t>Enterprise Valuation</t>
  </si>
  <si>
    <t>Present Value</t>
  </si>
  <si>
    <t>(1+Cost Of Equity)^-n</t>
  </si>
  <si>
    <t>Total FCFE</t>
  </si>
  <si>
    <t>FINANCIAL RATIOS</t>
  </si>
  <si>
    <t>Profitability</t>
  </si>
  <si>
    <t>GP Margin</t>
  </si>
  <si>
    <t>OP Margin</t>
  </si>
  <si>
    <t>Np Margin</t>
  </si>
  <si>
    <t>ROCE</t>
  </si>
  <si>
    <t>ROA</t>
  </si>
  <si>
    <t>Liquidity</t>
  </si>
  <si>
    <t>Leverage</t>
  </si>
  <si>
    <t>Effeciency Ratios</t>
  </si>
  <si>
    <t>Inventory Turnover Ratio</t>
  </si>
  <si>
    <t>Day Inventory Outstanding (IR Turnover in Days)</t>
  </si>
  <si>
    <t>Account payable Ratio</t>
  </si>
  <si>
    <t>Days Payable Outstanding ( Ap Turnover in Days)</t>
  </si>
  <si>
    <t xml:space="preserve">Quick (Acid Test) Ratio </t>
  </si>
  <si>
    <t>Operating Circle</t>
  </si>
  <si>
    <t>DATASET</t>
  </si>
  <si>
    <t>Year</t>
  </si>
  <si>
    <t xml:space="preserve"> Gross Profit</t>
  </si>
  <si>
    <t>OPEX Items</t>
  </si>
  <si>
    <t>Operating Profit</t>
  </si>
  <si>
    <t>NP Margin</t>
  </si>
  <si>
    <t>Employee Cost</t>
  </si>
  <si>
    <t>Dep. &amp; Amort</t>
  </si>
  <si>
    <t>Other Expenses</t>
  </si>
  <si>
    <t>Row Labels</t>
  </si>
  <si>
    <t>Grand Total</t>
  </si>
  <si>
    <t>Sum of Revenue</t>
  </si>
  <si>
    <t>Sum of Cost Of Sales</t>
  </si>
  <si>
    <t>Sum of  Gross Profit</t>
  </si>
  <si>
    <t>Column Labels</t>
  </si>
  <si>
    <t>Sum of OPEX</t>
  </si>
  <si>
    <t>Average of Revenue</t>
  </si>
  <si>
    <t>Average of  Gross Profit</t>
  </si>
  <si>
    <t>Average of Net Profit</t>
  </si>
  <si>
    <t>Sum of GP Margin</t>
  </si>
  <si>
    <t>Sum of NP Margin</t>
  </si>
  <si>
    <t>Sum of ROCE</t>
  </si>
  <si>
    <t xml:space="preserve">  Gross Profit</t>
  </si>
  <si>
    <t xml:space="preserve"> Net Profit</t>
  </si>
  <si>
    <t>26/03/2025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</si>
</sst>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43" formatCode="_(* #,##0.00_);_(* \(#,##0.00\);_(* &quot;-&quot;??_);_(@_)"/>
    <numFmt numFmtId="164" formatCode="_(* #,##0_);_(* \(#,##0\);_(* &quot;-&quot;??_);_(@_)"/>
    <numFmt numFmtId="165" formatCode="0\ &quot;Years&quot;"/>
    <numFmt numFmtId="166" formatCode="0\ &quot;Months&quot;"/>
    <numFmt numFmtId="167" formatCode="&quot;2025&quot;"/>
    <numFmt numFmtId="168" formatCode="&quot;2026&quot;"/>
    <numFmt numFmtId="169" formatCode="&quot;2027&quot;"/>
    <numFmt numFmtId="170" formatCode="&quot;2028&quot;"/>
    <numFmt numFmtId="171" formatCode="&quot;2029&quot;"/>
    <numFmt numFmtId="172" formatCode="_(* #,##0.000_);_(* \(#,##0.000\);_(* &quot;-&quot;??_);_(@_)"/>
    <numFmt numFmtId="173" formatCode="[$₦-471]\ #,##0;\-[$₦-471]\ #,##0"/>
  </numFmts>
  <fonts count="22" x14ac:knownFonts="1">
    <font>
      <sz val="11"/>
      <color theme="1"/>
      <name val="Calibri"/>
      <family val="2"/>
      <scheme val="minor"/>
    </font>
    <font>
      <sz val="11"/>
      <color theme="1"/>
      <name val="Calibri"/>
      <family val="2"/>
      <scheme val="minor"/>
    </font>
    <font>
      <b/>
      <sz val="11"/>
      <color theme="1"/>
      <name val="Calibri"/>
      <family val="2"/>
      <scheme val="minor"/>
    </font>
    <font>
      <b/>
      <i/>
      <sz val="18"/>
      <color theme="1"/>
      <name val="Calibri"/>
      <family val="2"/>
      <scheme val="minor"/>
    </font>
    <font>
      <b/>
      <i/>
      <sz val="11"/>
      <color theme="1"/>
      <name val="Calibri"/>
      <family val="2"/>
      <scheme val="minor"/>
    </font>
    <font>
      <b/>
      <i/>
      <sz val="10"/>
      <color theme="1"/>
      <name val="Calibri"/>
      <family val="2"/>
      <scheme val="minor"/>
    </font>
    <font>
      <b/>
      <i/>
      <sz val="14"/>
      <color theme="1"/>
      <name val="Calibri"/>
      <family val="2"/>
      <scheme val="minor"/>
    </font>
    <font>
      <sz val="10"/>
      <color theme="1"/>
      <name val="Calibri"/>
      <family val="2"/>
      <scheme val="minor"/>
    </font>
    <font>
      <i/>
      <sz val="14"/>
      <color theme="1"/>
      <name val="Calibri"/>
      <family val="2"/>
      <scheme val="minor"/>
    </font>
    <font>
      <i/>
      <sz val="11"/>
      <color theme="1"/>
      <name val="Calibri"/>
      <family val="2"/>
      <scheme val="minor"/>
    </font>
    <font>
      <sz val="16"/>
      <color theme="7" tint="0.39997558519241921"/>
      <name val="Calibri"/>
      <family val="2"/>
      <scheme val="minor"/>
    </font>
    <font>
      <b/>
      <sz val="16"/>
      <color theme="7" tint="0.39997558519241921"/>
      <name val="Calibri"/>
      <family val="2"/>
      <scheme val="minor"/>
    </font>
    <font>
      <b/>
      <i/>
      <sz val="16"/>
      <color theme="7" tint="0.39997558519241921"/>
      <name val="Calibri"/>
      <family val="2"/>
      <scheme val="minor"/>
    </font>
    <font>
      <u/>
      <sz val="11"/>
      <color theme="10"/>
      <name val="Calibri"/>
      <family val="2"/>
      <scheme val="minor"/>
    </font>
    <font>
      <sz val="11"/>
      <color theme="7" tint="0.39997558519241921"/>
      <name val="Calibri"/>
      <family val="2"/>
      <scheme val="minor"/>
    </font>
    <font>
      <b/>
      <sz val="11"/>
      <color theme="7" tint="0.39997558519241921"/>
      <name val="Calibri"/>
      <family val="2"/>
      <scheme val="minor"/>
    </font>
    <font>
      <sz val="11"/>
      <color theme="0"/>
      <name val="Calibri"/>
      <family val="2"/>
      <scheme val="minor"/>
    </font>
    <font>
      <b/>
      <sz val="10"/>
      <color theme="1"/>
      <name val="Calibri"/>
      <family val="2"/>
      <scheme val="minor"/>
    </font>
    <font>
      <b/>
      <i/>
      <sz val="11"/>
      <color theme="7"/>
      <name val="Calibri"/>
      <family val="2"/>
      <scheme val="minor"/>
    </font>
    <font>
      <b/>
      <u/>
      <sz val="11"/>
      <color theme="1"/>
      <name val="Calibri"/>
      <family val="2"/>
      <scheme val="minor"/>
    </font>
    <font>
      <sz val="11"/>
      <color theme="7"/>
      <name val="Calibri"/>
      <family val="2"/>
      <scheme val="minor"/>
    </font>
    <font>
      <b/>
      <i/>
      <sz val="8"/>
      <color theme="1"/>
      <name val="Calibri"/>
      <family val="2"/>
      <scheme val="minor"/>
    </font>
  </fonts>
  <fills count="8">
    <fill>
      <patternFill patternType="none"/>
    </fill>
    <fill>
      <patternFill patternType="gray125"/>
    </fill>
    <fill>
      <patternFill patternType="solid">
        <fgColor theme="4" tint="-0.249977111117893"/>
        <bgColor indexed="64"/>
      </patternFill>
    </fill>
    <fill>
      <patternFill patternType="solid">
        <fgColor theme="8" tint="-0.249977111117893"/>
        <bgColor indexed="64"/>
      </patternFill>
    </fill>
    <fill>
      <patternFill patternType="solid">
        <fgColor theme="3" tint="-0.249977111117893"/>
        <bgColor indexed="64"/>
      </patternFill>
    </fill>
    <fill>
      <patternFill patternType="solid">
        <fgColor theme="0"/>
        <bgColor indexed="64"/>
      </patternFill>
    </fill>
    <fill>
      <patternFill patternType="solid">
        <fgColor theme="3" tint="-0.499984740745262"/>
        <bgColor indexed="64"/>
      </patternFill>
    </fill>
    <fill>
      <patternFill patternType="solid">
        <fgColor theme="4" tint="0.79998168889431442"/>
        <bgColor theme="4" tint="0.79998168889431442"/>
      </patternFill>
    </fill>
  </fills>
  <borders count="20">
    <border>
      <left/>
      <right/>
      <top/>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diagonal/>
    </border>
    <border>
      <left/>
      <right style="thick">
        <color auto="1"/>
      </right>
      <top/>
      <bottom/>
      <diagonal/>
    </border>
    <border>
      <left/>
      <right/>
      <top/>
      <bottom style="thick">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right/>
      <top style="medium">
        <color auto="1"/>
      </top>
      <bottom style="medium">
        <color auto="1"/>
      </bottom>
      <diagonal/>
    </border>
    <border>
      <left/>
      <right/>
      <top/>
      <bottom style="hair">
        <color auto="1"/>
      </bottom>
      <diagonal/>
    </border>
    <border>
      <left/>
      <right/>
      <top style="thick">
        <color auto="1"/>
      </top>
      <bottom style="thick">
        <color auto="1"/>
      </bottom>
      <diagonal/>
    </border>
    <border>
      <left style="hair">
        <color auto="1"/>
      </left>
      <right style="hair">
        <color auto="1"/>
      </right>
      <top style="hair">
        <color auto="1"/>
      </top>
      <bottom style="thick">
        <color auto="1"/>
      </bottom>
      <diagonal/>
    </border>
    <border>
      <left/>
      <right/>
      <top/>
      <bottom style="medium">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medium">
        <color auto="1"/>
      </bottom>
      <diagonal/>
    </border>
    <border>
      <left/>
      <right/>
      <top/>
      <bottom style="thin">
        <color theme="4" tint="0.39997558519241921"/>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13" fillId="0" borderId="0" applyNumberFormat="0" applyFill="0" applyBorder="0" applyAlignment="0" applyProtection="0"/>
  </cellStyleXfs>
  <cellXfs count="120">
    <xf numFmtId="0" fontId="0" fillId="0" borderId="0" xfId="0"/>
    <xf numFmtId="0" fontId="0" fillId="3" borderId="0" xfId="0" applyFill="1"/>
    <xf numFmtId="0" fontId="0" fillId="4" borderId="0" xfId="0" applyFill="1"/>
    <xf numFmtId="0" fontId="0" fillId="0" borderId="0" xfId="0" applyBorder="1"/>
    <xf numFmtId="0" fontId="0" fillId="0" borderId="0" xfId="0" applyFill="1" applyBorder="1"/>
    <xf numFmtId="0" fontId="0" fillId="0" borderId="9" xfId="0" applyBorder="1"/>
    <xf numFmtId="0" fontId="0" fillId="0" borderId="7" xfId="0" applyBorder="1"/>
    <xf numFmtId="0" fontId="2" fillId="0" borderId="0" xfId="0" applyFont="1" applyFill="1" applyBorder="1"/>
    <xf numFmtId="0" fontId="0" fillId="0" borderId="0" xfId="0" applyFill="1"/>
    <xf numFmtId="0" fontId="0" fillId="0" borderId="1" xfId="0" applyFill="1" applyBorder="1"/>
    <xf numFmtId="0" fontId="0" fillId="0" borderId="2" xfId="0" applyFill="1" applyBorder="1"/>
    <xf numFmtId="0" fontId="0" fillId="0" borderId="3" xfId="0" applyFill="1" applyBorder="1"/>
    <xf numFmtId="0" fontId="0" fillId="0" borderId="4" xfId="0" applyFill="1" applyBorder="1"/>
    <xf numFmtId="0" fontId="3" fillId="0" borderId="0" xfId="0" applyFont="1" applyFill="1" applyBorder="1"/>
    <xf numFmtId="0" fontId="8" fillId="0" borderId="0" xfId="0" applyFont="1" applyFill="1" applyBorder="1"/>
    <xf numFmtId="0" fontId="0" fillId="0" borderId="5" xfId="0" applyFill="1" applyBorder="1"/>
    <xf numFmtId="0" fontId="6" fillId="0" borderId="0" xfId="0" applyFont="1" applyFill="1" applyBorder="1"/>
    <xf numFmtId="0" fontId="9" fillId="0" borderId="0" xfId="0" applyFont="1" applyFill="1" applyBorder="1"/>
    <xf numFmtId="0" fontId="10" fillId="3" borderId="0" xfId="0" applyFont="1" applyFill="1" applyAlignment="1">
      <alignment horizontal="centerContinuous"/>
    </xf>
    <xf numFmtId="0" fontId="12" fillId="3" borderId="0" xfId="0" applyFont="1" applyFill="1" applyAlignment="1">
      <alignment horizontal="centerContinuous"/>
    </xf>
    <xf numFmtId="0" fontId="5" fillId="0" borderId="0" xfId="0" applyFont="1" applyFill="1"/>
    <xf numFmtId="0" fontId="5" fillId="0" borderId="0" xfId="0" applyFont="1"/>
    <xf numFmtId="0" fontId="7" fillId="0" borderId="0" xfId="0" applyFont="1"/>
    <xf numFmtId="0" fontId="0" fillId="0" borderId="0" xfId="0" applyAlignment="1">
      <alignment horizontal="center"/>
    </xf>
    <xf numFmtId="0" fontId="2" fillId="0" borderId="0" xfId="0" applyFont="1"/>
    <xf numFmtId="0" fontId="2" fillId="0" borderId="10" xfId="0" applyFont="1" applyBorder="1" applyAlignment="1">
      <alignment horizontal="center"/>
    </xf>
    <xf numFmtId="0" fontId="2" fillId="0" borderId="10" xfId="0" applyFont="1" applyBorder="1"/>
    <xf numFmtId="0" fontId="13" fillId="0" borderId="0" xfId="3"/>
    <xf numFmtId="0" fontId="5" fillId="0" borderId="0" xfId="0" applyFont="1" applyAlignment="1">
      <alignment horizontal="centerContinuous"/>
    </xf>
    <xf numFmtId="0" fontId="0" fillId="0" borderId="0" xfId="0" applyAlignment="1">
      <alignment horizontal="centerContinuous"/>
    </xf>
    <xf numFmtId="9" fontId="0" fillId="0" borderId="0" xfId="2" applyFont="1"/>
    <xf numFmtId="9" fontId="0" fillId="0" borderId="0" xfId="0" applyNumberFormat="1"/>
    <xf numFmtId="10" fontId="0" fillId="0" borderId="0" xfId="2" applyNumberFormat="1" applyFont="1"/>
    <xf numFmtId="0" fontId="14" fillId="3" borderId="0" xfId="0" applyFont="1" applyFill="1"/>
    <xf numFmtId="0" fontId="15" fillId="3" borderId="0" xfId="0" applyFont="1" applyFill="1"/>
    <xf numFmtId="164" fontId="0" fillId="0" borderId="0" xfId="1" applyNumberFormat="1" applyFont="1"/>
    <xf numFmtId="164" fontId="0" fillId="0" borderId="7" xfId="1" applyNumberFormat="1" applyFont="1" applyBorder="1"/>
    <xf numFmtId="43" fontId="0" fillId="0" borderId="7" xfId="1" applyFont="1" applyBorder="1"/>
    <xf numFmtId="9" fontId="0" fillId="0" borderId="7" xfId="2" applyFont="1" applyBorder="1"/>
    <xf numFmtId="10" fontId="0" fillId="0" borderId="7" xfId="2" applyNumberFormat="1" applyFont="1" applyBorder="1"/>
    <xf numFmtId="164" fontId="0" fillId="0" borderId="8" xfId="1" applyNumberFormat="1" applyFont="1" applyFill="1" applyBorder="1"/>
    <xf numFmtId="164" fontId="0" fillId="0" borderId="7" xfId="1" applyNumberFormat="1" applyFont="1" applyFill="1" applyBorder="1"/>
    <xf numFmtId="164" fontId="0" fillId="0" borderId="0" xfId="0" applyNumberFormat="1"/>
    <xf numFmtId="9" fontId="0" fillId="0" borderId="7" xfId="0" applyNumberFormat="1" applyBorder="1"/>
    <xf numFmtId="165" fontId="0" fillId="0" borderId="0" xfId="0" applyNumberFormat="1"/>
    <xf numFmtId="0" fontId="0" fillId="0" borderId="0" xfId="0" applyFont="1"/>
    <xf numFmtId="0" fontId="0" fillId="0" borderId="6" xfId="0" applyFont="1" applyBorder="1"/>
    <xf numFmtId="0" fontId="14" fillId="0" borderId="0" xfId="0" applyFont="1" applyFill="1"/>
    <xf numFmtId="0" fontId="4" fillId="0" borderId="0" xfId="0" applyFont="1"/>
    <xf numFmtId="164" fontId="0" fillId="0" borderId="12" xfId="1" applyNumberFormat="1" applyFont="1" applyBorder="1"/>
    <xf numFmtId="164" fontId="0" fillId="0" borderId="13" xfId="1" applyNumberFormat="1" applyFont="1" applyBorder="1"/>
    <xf numFmtId="164" fontId="2" fillId="0" borderId="12" xfId="1" applyNumberFormat="1" applyFont="1" applyBorder="1"/>
    <xf numFmtId="164" fontId="0" fillId="0" borderId="8" xfId="1" applyNumberFormat="1" applyFont="1" applyBorder="1"/>
    <xf numFmtId="0" fontId="15" fillId="0" borderId="0" xfId="0" applyFont="1" applyFill="1"/>
    <xf numFmtId="0" fontId="0" fillId="0" borderId="0" xfId="0" applyFont="1" applyFill="1"/>
    <xf numFmtId="164" fontId="2" fillId="0" borderId="12" xfId="0" applyNumberFormat="1" applyFont="1" applyFill="1" applyBorder="1"/>
    <xf numFmtId="165" fontId="0" fillId="0" borderId="0" xfId="1" applyNumberFormat="1" applyFont="1"/>
    <xf numFmtId="164" fontId="0" fillId="0" borderId="11" xfId="1" applyNumberFormat="1" applyFont="1" applyBorder="1"/>
    <xf numFmtId="164" fontId="2" fillId="0" borderId="12" xfId="0" applyNumberFormat="1" applyFont="1" applyBorder="1"/>
    <xf numFmtId="164" fontId="2" fillId="0" borderId="0" xfId="0" applyNumberFormat="1" applyFont="1" applyBorder="1"/>
    <xf numFmtId="164" fontId="0" fillId="0" borderId="7" xfId="0" applyNumberFormat="1" applyBorder="1"/>
    <xf numFmtId="164" fontId="0" fillId="0" borderId="8" xfId="0" applyNumberFormat="1" applyBorder="1"/>
    <xf numFmtId="164" fontId="2" fillId="0" borderId="6" xfId="1" applyNumberFormat="1" applyFont="1" applyBorder="1"/>
    <xf numFmtId="164" fontId="0" fillId="0" borderId="13" xfId="0" applyNumberFormat="1" applyBorder="1"/>
    <xf numFmtId="166" fontId="0" fillId="0" borderId="0" xfId="0" applyNumberFormat="1"/>
    <xf numFmtId="9" fontId="2" fillId="0" borderId="12" xfId="2" applyFont="1" applyBorder="1"/>
    <xf numFmtId="0" fontId="2" fillId="0" borderId="6" xfId="0" applyFont="1" applyBorder="1" applyAlignment="1">
      <alignment horizontal="center"/>
    </xf>
    <xf numFmtId="40" fontId="0" fillId="0" borderId="0" xfId="0" applyNumberFormat="1"/>
    <xf numFmtId="38" fontId="2" fillId="0" borderId="12" xfId="0" applyNumberFormat="1" applyFont="1" applyBorder="1"/>
    <xf numFmtId="0" fontId="2" fillId="0" borderId="0" xfId="0" applyFont="1" applyBorder="1" applyAlignment="1">
      <alignment horizontal="center"/>
    </xf>
    <xf numFmtId="38" fontId="0" fillId="0" borderId="7" xfId="0" applyNumberFormat="1" applyBorder="1"/>
    <xf numFmtId="164" fontId="2" fillId="0" borderId="0" xfId="1" applyNumberFormat="1" applyFont="1" applyBorder="1"/>
    <xf numFmtId="164" fontId="0" fillId="0" borderId="9" xfId="1" applyNumberFormat="1" applyFont="1" applyBorder="1"/>
    <xf numFmtId="38" fontId="2" fillId="0" borderId="2" xfId="0" applyNumberFormat="1" applyFont="1" applyBorder="1"/>
    <xf numFmtId="38" fontId="2" fillId="0" borderId="0" xfId="0" applyNumberFormat="1" applyFont="1" applyBorder="1"/>
    <xf numFmtId="38" fontId="0" fillId="0" borderId="0" xfId="0" applyNumberFormat="1" applyBorder="1"/>
    <xf numFmtId="38" fontId="15" fillId="2" borderId="0" xfId="0" applyNumberFormat="1" applyFont="1" applyFill="1"/>
    <xf numFmtId="40" fontId="0" fillId="0" borderId="7" xfId="0" applyNumberFormat="1" applyBorder="1"/>
    <xf numFmtId="0" fontId="11" fillId="3" borderId="0" xfId="0" applyFont="1" applyFill="1" applyAlignment="1">
      <alignment horizontal="centerContinuous"/>
    </xf>
    <xf numFmtId="164" fontId="15" fillId="2" borderId="12" xfId="1" applyNumberFormat="1" applyFont="1" applyFill="1" applyBorder="1"/>
    <xf numFmtId="164" fontId="2" fillId="0" borderId="10" xfId="1" applyNumberFormat="1" applyFont="1" applyBorder="1"/>
    <xf numFmtId="164" fontId="2" fillId="2" borderId="10" xfId="1" applyNumberFormat="1" applyFont="1" applyFill="1" applyBorder="1"/>
    <xf numFmtId="0" fontId="16" fillId="5" borderId="0" xfId="0" applyFont="1" applyFill="1"/>
    <xf numFmtId="0" fontId="17" fillId="0" borderId="0" xfId="0" applyFont="1"/>
    <xf numFmtId="38" fontId="0" fillId="0" borderId="0" xfId="0" applyNumberFormat="1"/>
    <xf numFmtId="38" fontId="4" fillId="0" borderId="10" xfId="0" applyNumberFormat="1" applyFont="1" applyBorder="1"/>
    <xf numFmtId="10" fontId="0" fillId="0" borderId="7" xfId="0" applyNumberFormat="1" applyBorder="1"/>
    <xf numFmtId="38" fontId="4" fillId="0" borderId="0" xfId="0" applyNumberFormat="1" applyFont="1" applyBorder="1"/>
    <xf numFmtId="167" fontId="0" fillId="0" borderId="6" xfId="0" applyNumberFormat="1" applyFont="1" applyBorder="1"/>
    <xf numFmtId="168" fontId="0" fillId="0" borderId="6" xfId="0" applyNumberFormat="1" applyFont="1" applyBorder="1"/>
    <xf numFmtId="169" fontId="0" fillId="0" borderId="6" xfId="0" applyNumberFormat="1" applyFont="1" applyBorder="1"/>
    <xf numFmtId="170" fontId="0" fillId="0" borderId="6" xfId="0" applyNumberFormat="1" applyFont="1" applyBorder="1"/>
    <xf numFmtId="171" fontId="0" fillId="0" borderId="6" xfId="0" applyNumberFormat="1" applyFont="1" applyBorder="1"/>
    <xf numFmtId="38" fontId="4" fillId="0" borderId="12" xfId="0" applyNumberFormat="1" applyFont="1" applyBorder="1"/>
    <xf numFmtId="38" fontId="18" fillId="3" borderId="14" xfId="0" applyNumberFormat="1" applyFont="1" applyFill="1" applyBorder="1"/>
    <xf numFmtId="0" fontId="19" fillId="0" borderId="0" xfId="0" applyFont="1"/>
    <xf numFmtId="38" fontId="4" fillId="0" borderId="7" xfId="0" applyNumberFormat="1" applyFont="1" applyBorder="1"/>
    <xf numFmtId="172" fontId="4" fillId="0" borderId="7" xfId="1" applyNumberFormat="1" applyFont="1" applyBorder="1"/>
    <xf numFmtId="10" fontId="0" fillId="0" borderId="15" xfId="0" applyNumberFormat="1" applyBorder="1"/>
    <xf numFmtId="0" fontId="0" fillId="0" borderId="16" xfId="0" applyBorder="1"/>
    <xf numFmtId="0" fontId="0" fillId="0" borderId="17" xfId="0" applyBorder="1"/>
    <xf numFmtId="0" fontId="0" fillId="0" borderId="15" xfId="0" applyBorder="1"/>
    <xf numFmtId="10" fontId="0" fillId="0" borderId="16" xfId="2" applyNumberFormat="1" applyFont="1" applyBorder="1"/>
    <xf numFmtId="0" fontId="13" fillId="0" borderId="16" xfId="3" applyBorder="1"/>
    <xf numFmtId="2" fontId="0" fillId="0" borderId="16" xfId="0" applyNumberFormat="1" applyBorder="1"/>
    <xf numFmtId="38" fontId="0" fillId="0" borderId="7" xfId="0" applyNumberFormat="1" applyFill="1" applyBorder="1"/>
    <xf numFmtId="164" fontId="2" fillId="0" borderId="6" xfId="0" applyNumberFormat="1" applyFont="1" applyBorder="1"/>
    <xf numFmtId="164" fontId="0" fillId="0" borderId="18" xfId="0" applyNumberFormat="1" applyBorder="1"/>
    <xf numFmtId="43" fontId="0" fillId="0" borderId="7" xfId="1" applyNumberFormat="1" applyFont="1" applyBorder="1"/>
    <xf numFmtId="43" fontId="0" fillId="0" borderId="7" xfId="0" applyNumberFormat="1" applyBorder="1"/>
    <xf numFmtId="37" fontId="0" fillId="0" borderId="7" xfId="0" applyNumberFormat="1" applyFill="1" applyBorder="1"/>
    <xf numFmtId="9" fontId="0" fillId="0" borderId="7" xfId="2" applyFont="1" applyFill="1" applyBorder="1"/>
    <xf numFmtId="43" fontId="0" fillId="0" borderId="7" xfId="2" applyNumberFormat="1" applyFont="1" applyFill="1" applyBorder="1"/>
    <xf numFmtId="0" fontId="0" fillId="0" borderId="0" xfId="0" pivotButton="1"/>
    <xf numFmtId="0" fontId="0" fillId="0" borderId="0" xfId="0" applyAlignment="1">
      <alignment horizontal="left"/>
    </xf>
    <xf numFmtId="0" fontId="2" fillId="7" borderId="19" xfId="0" applyFont="1" applyFill="1" applyBorder="1"/>
    <xf numFmtId="0" fontId="0" fillId="6" borderId="0" xfId="0" applyFill="1"/>
    <xf numFmtId="173" fontId="0" fillId="0" borderId="0" xfId="1" applyNumberFormat="1" applyFont="1"/>
    <xf numFmtId="0" fontId="20" fillId="6" borderId="0" xfId="0" applyFont="1" applyFill="1"/>
    <xf numFmtId="0" fontId="21" fillId="0" borderId="0" xfId="0" applyFont="1"/>
  </cellXfs>
  <cellStyles count="4">
    <cellStyle name="Comma" xfId="1" builtinId="3"/>
    <cellStyle name="Hyperlink" xfId="3" builtinId="8"/>
    <cellStyle name="Normal" xfId="0" builtinId="0"/>
    <cellStyle name="Percent" xfId="2" builtinId="5"/>
  </cellStyles>
  <dxfs count="82">
    <dxf>
      <numFmt numFmtId="35" formatCode="_(* #,##0.00_);_(* \(#,##0.00\);_(* &quot;-&quot;??_);_(@_)"/>
    </dxf>
    <dxf>
      <numFmt numFmtId="174" formatCode="_(* #,##0.0_);_(* \(#,##0.0\);_(* &quot;-&quot;??_);_(@_)"/>
    </dxf>
    <dxf>
      <numFmt numFmtId="164" formatCode="_(* #,##0_);_(* \(#,##0\);_(* &quot;-&quot;??_);_(@_)"/>
    </dxf>
    <dxf>
      <numFmt numFmtId="35" formatCode="_(* #,##0.00_);_(* \(#,##0.00\);_(* &quot;-&quot;??_);_(@_)"/>
    </dxf>
    <dxf>
      <numFmt numFmtId="174" formatCode="_(* #,##0.0_);_(* \(#,##0.0\);_(* &quot;-&quot;??_);_(@_)"/>
    </dxf>
    <dxf>
      <numFmt numFmtId="164" formatCode="_(* #,##0_);_(* \(#,##0\);_(* &quot;-&quot;??_);_(@_)"/>
    </dxf>
    <dxf>
      <numFmt numFmtId="35" formatCode="_(* #,##0.00_);_(* \(#,##0.00\);_(* &quot;-&quot;??_);_(@_)"/>
    </dxf>
    <dxf>
      <numFmt numFmtId="174" formatCode="_(* #,##0.0_);_(* \(#,##0.0\);_(* &quot;-&quot;??_);_(@_)"/>
    </dxf>
    <dxf>
      <numFmt numFmtId="164" formatCode="_(* #,##0_);_(* \(#,##0\);_(* &quot;-&quot;??_);_(@_)"/>
    </dxf>
    <dxf>
      <numFmt numFmtId="35" formatCode="_(* #,##0.00_);_(* \(#,##0.00\);_(* &quot;-&quot;??_);_(@_)"/>
    </dxf>
    <dxf>
      <numFmt numFmtId="174" formatCode="_(* #,##0.0_);_(* \(#,##0.0\);_(* &quot;-&quot;??_);_(@_)"/>
    </dxf>
    <dxf>
      <numFmt numFmtId="164" formatCode="_(* #,##0_);_(* \(#,##0\);_(* &quot;-&quot;??_);_(@_)"/>
    </dxf>
    <dxf>
      <numFmt numFmtId="13" formatCode="0%"/>
    </dxf>
    <dxf>
      <numFmt numFmtId="35" formatCode="_(* #,##0.00_);_(* \(#,##0.00\);_(* &quot;-&quot;??_);_(@_)"/>
    </dxf>
    <dxf>
      <numFmt numFmtId="174" formatCode="_(* #,##0.0_);_(* \(#,##0.0\);_(* &quot;-&quot;??_);_(@_)"/>
    </dxf>
    <dxf>
      <numFmt numFmtId="164" formatCode="_(* #,##0_);_(* \(#,##0\);_(* &quot;-&quot;??_);_(@_)"/>
    </dxf>
    <dxf>
      <numFmt numFmtId="35" formatCode="_(* #,##0.00_);_(* \(#,##0.00\);_(* &quot;-&quot;??_);_(@_)"/>
    </dxf>
    <dxf>
      <numFmt numFmtId="174" formatCode="_(* #,##0.0_);_(* \(#,##0.0\);_(* &quot;-&quot;??_);_(@_)"/>
    </dxf>
    <dxf>
      <numFmt numFmtId="164" formatCode="_(* #,##0_);_(* \(#,##0\);_(* &quot;-&quot;??_);_(@_)"/>
    </dxf>
    <dxf>
      <numFmt numFmtId="35" formatCode="_(* #,##0.00_);_(* \(#,##0.00\);_(* &quot;-&quot;??_);_(@_)"/>
    </dxf>
    <dxf>
      <numFmt numFmtId="174" formatCode="_(* #,##0.0_);_(* \(#,##0.0\);_(* &quot;-&quot;??_);_(@_)"/>
    </dxf>
    <dxf>
      <numFmt numFmtId="164" formatCode="_(* #,##0_);_(* \(#,##0\);_(* &quot;-&quot;??_);_(@_)"/>
    </dxf>
    <dxf>
      <numFmt numFmtId="35" formatCode="_(* #,##0.00_);_(* \(#,##0.00\);_(* &quot;-&quot;??_);_(@_)"/>
    </dxf>
    <dxf>
      <numFmt numFmtId="174" formatCode="_(* #,##0.0_);_(* \(#,##0.0\);_(* &quot;-&quot;??_);_(@_)"/>
    </dxf>
    <dxf>
      <numFmt numFmtId="164" formatCode="_(* #,##0_);_(* \(#,##0\);_(* &quot;-&quot;??_);_(@_)"/>
    </dxf>
    <dxf>
      <numFmt numFmtId="35" formatCode="_(* #,##0.00_);_(* \(#,##0.00\);_(* &quot;-&quot;??_);_(@_)"/>
    </dxf>
    <dxf>
      <numFmt numFmtId="174" formatCode="_(* #,##0.0_);_(* \(#,##0.0\);_(* &quot;-&quot;??_);_(@_)"/>
    </dxf>
    <dxf>
      <numFmt numFmtId="164" formatCode="_(* #,##0_);_(* \(#,##0\);_(* &quot;-&quot;??_);_(@_)"/>
    </dxf>
    <dxf>
      <numFmt numFmtId="13" formatCode="0%"/>
    </dxf>
    <dxf>
      <numFmt numFmtId="35" formatCode="_(* #,##0.00_);_(* \(#,##0.00\);_(* &quot;-&quot;??_);_(@_)"/>
    </dxf>
    <dxf>
      <numFmt numFmtId="174" formatCode="_(* #,##0.0_);_(* \(#,##0.0\);_(* &quot;-&quot;??_);_(@_)"/>
    </dxf>
    <dxf>
      <numFmt numFmtId="164" formatCode="_(* #,##0_);_(* \(#,##0\);_(* &quot;-&quot;??_);_(@_)"/>
    </dxf>
    <dxf>
      <numFmt numFmtId="35" formatCode="_(* #,##0.00_);_(* \(#,##0.00\);_(* &quot;-&quot;??_);_(@_)"/>
    </dxf>
    <dxf>
      <numFmt numFmtId="174" formatCode="_(* #,##0.0_);_(* \(#,##0.0\);_(* &quot;-&quot;??_);_(@_)"/>
    </dxf>
    <dxf>
      <numFmt numFmtId="164" formatCode="_(* #,##0_);_(* \(#,##0\);_(* &quot;-&quot;??_);_(@_)"/>
    </dxf>
    <dxf>
      <numFmt numFmtId="35" formatCode="_(* #,##0.00_);_(* \(#,##0.00\);_(* &quot;-&quot;??_);_(@_)"/>
    </dxf>
    <dxf>
      <numFmt numFmtId="174" formatCode="_(* #,##0.0_);_(* \(#,##0.0\);_(* &quot;-&quot;??_);_(@_)"/>
    </dxf>
    <dxf>
      <numFmt numFmtId="164" formatCode="_(* #,##0_);_(* \(#,##0\);_(* &quot;-&quot;??_);_(@_)"/>
    </dxf>
    <dxf>
      <numFmt numFmtId="35" formatCode="_(* #,##0.00_);_(* \(#,##0.00\);_(* &quot;-&quot;??_);_(@_)"/>
    </dxf>
    <dxf>
      <numFmt numFmtId="174" formatCode="_(* #,##0.0_);_(* \(#,##0.0\);_(* &quot;-&quot;??_);_(@_)"/>
    </dxf>
    <dxf>
      <numFmt numFmtId="164" formatCode="_(* #,##0_);_(* \(#,##0\);_(* &quot;-&quot;??_);_(@_)"/>
    </dxf>
    <dxf>
      <numFmt numFmtId="35" formatCode="_(* #,##0.00_);_(* \(#,##0.00\);_(* &quot;-&quot;??_);_(@_)"/>
    </dxf>
    <dxf>
      <numFmt numFmtId="174" formatCode="_(* #,##0.0_);_(* \(#,##0.0\);_(* &quot;-&quot;??_);_(@_)"/>
    </dxf>
    <dxf>
      <numFmt numFmtId="164" formatCode="_(* #,##0_);_(* \(#,##0\);_(* &quot;-&quot;??_);_(@_)"/>
    </dxf>
    <dxf>
      <numFmt numFmtId="13" formatCode="0%"/>
    </dxf>
    <dxf>
      <numFmt numFmtId="35" formatCode="_(* #,##0.00_);_(* \(#,##0.00\);_(* &quot;-&quot;??_);_(@_)"/>
    </dxf>
    <dxf>
      <numFmt numFmtId="174" formatCode="_(* #,##0.0_);_(* \(#,##0.0\);_(* &quot;-&quot;??_);_(@_)"/>
    </dxf>
    <dxf>
      <numFmt numFmtId="164" formatCode="_(* #,##0_);_(* \(#,##0\);_(* &quot;-&quot;??_);_(@_)"/>
    </dxf>
    <dxf>
      <numFmt numFmtId="35" formatCode="_(* #,##0.00_);_(* \(#,##0.00\);_(* &quot;-&quot;??_);_(@_)"/>
    </dxf>
    <dxf>
      <numFmt numFmtId="174" formatCode="_(* #,##0.0_);_(* \(#,##0.0\);_(* &quot;-&quot;??_);_(@_)"/>
    </dxf>
    <dxf>
      <numFmt numFmtId="164" formatCode="_(* #,##0_);_(* \(#,##0\);_(* &quot;-&quot;??_);_(@_)"/>
    </dxf>
    <dxf>
      <numFmt numFmtId="35" formatCode="_(* #,##0.00_);_(* \(#,##0.00\);_(* &quot;-&quot;??_);_(@_)"/>
    </dxf>
    <dxf>
      <numFmt numFmtId="174" formatCode="_(* #,##0.0_);_(* \(#,##0.0\);_(* &quot;-&quot;??_);_(@_)"/>
    </dxf>
    <dxf>
      <numFmt numFmtId="164" formatCode="_(* #,##0_);_(* \(#,##0\);_(* &quot;-&quot;??_);_(@_)"/>
    </dxf>
    <dxf>
      <numFmt numFmtId="35" formatCode="_(* #,##0.00_);_(* \(#,##0.00\);_(* &quot;-&quot;??_);_(@_)"/>
    </dxf>
    <dxf>
      <numFmt numFmtId="174" formatCode="_(* #,##0.0_);_(* \(#,##0.0\);_(* &quot;-&quot;??_);_(@_)"/>
    </dxf>
    <dxf>
      <numFmt numFmtId="164" formatCode="_(* #,##0_);_(* \(#,##0\);_(* &quot;-&quot;??_);_(@_)"/>
    </dxf>
    <dxf>
      <numFmt numFmtId="35" formatCode="_(* #,##0.00_);_(* \(#,##0.00\);_(* &quot;-&quot;??_);_(@_)"/>
    </dxf>
    <dxf>
      <numFmt numFmtId="174" formatCode="_(* #,##0.0_);_(* \(#,##0.0\);_(* &quot;-&quot;??_);_(@_)"/>
    </dxf>
    <dxf>
      <numFmt numFmtId="164" formatCode="_(* #,##0_);_(* \(#,##0\);_(* &quot;-&quot;??_);_(@_)"/>
    </dxf>
    <dxf>
      <numFmt numFmtId="13" formatCode="0%"/>
    </dxf>
    <dxf>
      <numFmt numFmtId="35" formatCode="_(* #,##0.00_);_(* \(#,##0.00\);_(* &quot;-&quot;??_);_(@_)"/>
    </dxf>
    <dxf>
      <numFmt numFmtId="174" formatCode="_(* #,##0.0_);_(* \(#,##0.0\);_(* &quot;-&quot;??_);_(@_)"/>
    </dxf>
    <dxf>
      <numFmt numFmtId="164" formatCode="_(* #,##0_);_(* \(#,##0\);_(* &quot;-&quot;??_);_(@_)"/>
    </dxf>
    <dxf>
      <numFmt numFmtId="164" formatCode="_(* #,##0_);_(* \(#,##0\);_(* &quot;-&quot;??_);_(@_)"/>
    </dxf>
    <dxf>
      <numFmt numFmtId="174" formatCode="_(* #,##0.0_);_(* \(#,##0.0\);_(* &quot;-&quot;??_);_(@_)"/>
    </dxf>
    <dxf>
      <numFmt numFmtId="35" formatCode="_(* #,##0.00_);_(* \(#,##0.00\);_(* &quot;-&quot;??_);_(@_)"/>
    </dxf>
    <dxf>
      <numFmt numFmtId="13" formatCode="0%"/>
    </dxf>
    <dxf>
      <numFmt numFmtId="164" formatCode="_(* #,##0_);_(* \(#,##0\);_(* &quot;-&quot;??_);_(@_)"/>
    </dxf>
    <dxf>
      <numFmt numFmtId="174" formatCode="_(* #,##0.0_);_(* \(#,##0.0\);_(* &quot;-&quot;??_);_(@_)"/>
    </dxf>
    <dxf>
      <numFmt numFmtId="35" formatCode="_(* #,##0.00_);_(* \(#,##0.00\);_(* &quot;-&quot;??_);_(@_)"/>
    </dxf>
    <dxf>
      <numFmt numFmtId="164" formatCode="_(* #,##0_);_(* \(#,##0\);_(* &quot;-&quot;??_);_(@_)"/>
    </dxf>
    <dxf>
      <numFmt numFmtId="174" formatCode="_(* #,##0.0_);_(* \(#,##0.0\);_(* &quot;-&quot;??_);_(@_)"/>
    </dxf>
    <dxf>
      <numFmt numFmtId="35" formatCode="_(* #,##0.00_);_(* \(#,##0.00\);_(* &quot;-&quot;??_);_(@_)"/>
    </dxf>
    <dxf>
      <numFmt numFmtId="164" formatCode="_(* #,##0_);_(* \(#,##0\);_(* &quot;-&quot;??_);_(@_)"/>
    </dxf>
    <dxf>
      <numFmt numFmtId="174" formatCode="_(* #,##0.0_);_(* \(#,##0.0\);_(* &quot;-&quot;??_);_(@_)"/>
    </dxf>
    <dxf>
      <numFmt numFmtId="35" formatCode="_(* #,##0.00_);_(* \(#,##0.00\);_(* &quot;-&quot;??_);_(@_)"/>
    </dxf>
    <dxf>
      <numFmt numFmtId="164" formatCode="_(* #,##0_);_(* \(#,##0\);_(* &quot;-&quot;??_);_(@_)"/>
    </dxf>
    <dxf>
      <numFmt numFmtId="174" formatCode="_(* #,##0.0_);_(* \(#,##0.0\);_(* &quot;-&quot;??_);_(@_)"/>
    </dxf>
    <dxf>
      <numFmt numFmtId="35" formatCode="_(* #,##0.00_);_(* \(#,##0.00\);_(* &quot;-&quot;??_);_(@_)"/>
    </dxf>
    <dxf>
      <font>
        <b val="0"/>
        <i val="0"/>
        <strike val="0"/>
        <condense val="0"/>
        <extend val="0"/>
        <outline val="0"/>
        <shadow val="0"/>
        <u val="none"/>
        <vertAlign val="baseline"/>
        <sz val="11"/>
        <color theme="1"/>
        <name val="Calibri"/>
        <scheme val="minor"/>
      </font>
      <numFmt numFmtId="164" formatCode="_(* #,##0_);_(* \(#,##0\);_(* &quot;-&quot;??_);_(@_)"/>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 PeakandLight 5 Years Financial Model (Final).xlsx]Pivot!PivotTable1</c:name>
    <c:fmtId val="2"/>
  </c:pivotSource>
  <c:chart>
    <c:title>
      <c:tx>
        <c:rich>
          <a:bodyPr rot="0" spcFirstLastPara="1" vertOverflow="ellipsis" vert="horz" wrap="square" anchor="ctr" anchorCtr="1"/>
          <a:lstStyle/>
          <a:p>
            <a:pPr>
              <a:defRPr sz="1600" b="1" i="0" u="none" strike="noStrike" kern="1200" baseline="0">
                <a:solidFill>
                  <a:schemeClr val="bg1">
                    <a:lumMod val="95000"/>
                  </a:schemeClr>
                </a:solidFill>
                <a:latin typeface="+mn-lt"/>
                <a:ea typeface="+mn-ea"/>
                <a:cs typeface="+mn-cs"/>
              </a:defRPr>
            </a:pPr>
            <a:r>
              <a:rPr lang="en-US" baseline="0">
                <a:solidFill>
                  <a:schemeClr val="bg1">
                    <a:lumMod val="95000"/>
                  </a:schemeClr>
                </a:solidFill>
              </a:rPr>
              <a:t>OPerating Performance</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bg1">
                  <a:lumMod val="9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15674015748031497"/>
          <c:y val="0.15380620383321378"/>
          <c:w val="0.82922475480038682"/>
          <c:h val="0.62835264732698481"/>
        </c:manualLayout>
      </c:layout>
      <c:barChart>
        <c:barDir val="col"/>
        <c:grouping val="clustered"/>
        <c:varyColors val="0"/>
        <c:ser>
          <c:idx val="0"/>
          <c:order val="0"/>
          <c:tx>
            <c:strRef>
              <c:f>Pivot!$C$3</c:f>
              <c:strCache>
                <c:ptCount val="1"/>
                <c:pt idx="0">
                  <c:v>Sum of 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Pivot!$B$4:$B$9</c:f>
              <c:strCache>
                <c:ptCount val="5"/>
                <c:pt idx="0">
                  <c:v>2025</c:v>
                </c:pt>
                <c:pt idx="1">
                  <c:v>2026</c:v>
                </c:pt>
                <c:pt idx="2">
                  <c:v>2027</c:v>
                </c:pt>
                <c:pt idx="3">
                  <c:v>2028</c:v>
                </c:pt>
                <c:pt idx="4">
                  <c:v>2029</c:v>
                </c:pt>
              </c:strCache>
            </c:strRef>
          </c:cat>
          <c:val>
            <c:numRef>
              <c:f>Pivot!$C$4:$C$9</c:f>
              <c:numCache>
                <c:formatCode>_(* #,##0_);_(* \(#,##0\);_(* "-"??_);_(@_)</c:formatCode>
                <c:ptCount val="5"/>
                <c:pt idx="0">
                  <c:v>56448000</c:v>
                </c:pt>
                <c:pt idx="1">
                  <c:v>64610380.799999997</c:v>
                </c:pt>
                <c:pt idx="2">
                  <c:v>73655834.112000018</c:v>
                </c:pt>
                <c:pt idx="3">
                  <c:v>83967650.887680024</c:v>
                </c:pt>
                <c:pt idx="4">
                  <c:v>95723122.011955231</c:v>
                </c:pt>
              </c:numCache>
            </c:numRef>
          </c:val>
          <c:extLst>
            <c:ext xmlns:c16="http://schemas.microsoft.com/office/drawing/2014/chart" uri="{C3380CC4-5D6E-409C-BE32-E72D297353CC}">
              <c16:uniqueId val="{00000000-096A-4082-BC36-BF9B438CB507}"/>
            </c:ext>
          </c:extLst>
        </c:ser>
        <c:ser>
          <c:idx val="1"/>
          <c:order val="1"/>
          <c:tx>
            <c:strRef>
              <c:f>Pivot!$D$3</c:f>
              <c:strCache>
                <c:ptCount val="1"/>
                <c:pt idx="0">
                  <c:v>Sum of Cost Of Sales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Pivot!$B$4:$B$9</c:f>
              <c:strCache>
                <c:ptCount val="5"/>
                <c:pt idx="0">
                  <c:v>2025</c:v>
                </c:pt>
                <c:pt idx="1">
                  <c:v>2026</c:v>
                </c:pt>
                <c:pt idx="2">
                  <c:v>2027</c:v>
                </c:pt>
                <c:pt idx="3">
                  <c:v>2028</c:v>
                </c:pt>
                <c:pt idx="4">
                  <c:v>2029</c:v>
                </c:pt>
              </c:strCache>
            </c:strRef>
          </c:cat>
          <c:val>
            <c:numRef>
              <c:f>Pivot!$D$4:$D$9</c:f>
              <c:numCache>
                <c:formatCode>_(* #,##0_);_(* \(#,##0\);_(* "-"??_);_(@_)</c:formatCode>
                <c:ptCount val="5"/>
                <c:pt idx="0">
                  <c:v>16934400</c:v>
                </c:pt>
                <c:pt idx="1">
                  <c:v>19383114.239999998</c:v>
                </c:pt>
                <c:pt idx="2">
                  <c:v>22096750.233600002</c:v>
                </c:pt>
                <c:pt idx="3">
                  <c:v>25190295.266304005</c:v>
                </c:pt>
                <c:pt idx="4">
                  <c:v>28716936.603586566</c:v>
                </c:pt>
              </c:numCache>
            </c:numRef>
          </c:val>
          <c:extLst>
            <c:ext xmlns:c16="http://schemas.microsoft.com/office/drawing/2014/chart" uri="{C3380CC4-5D6E-409C-BE32-E72D297353CC}">
              <c16:uniqueId val="{00000001-096A-4082-BC36-BF9B438CB507}"/>
            </c:ext>
          </c:extLst>
        </c:ser>
        <c:ser>
          <c:idx val="2"/>
          <c:order val="2"/>
          <c:tx>
            <c:strRef>
              <c:f>Pivot!$E$3</c:f>
              <c:strCache>
                <c:ptCount val="1"/>
                <c:pt idx="0">
                  <c:v>Sum of  Gross Profit</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Pivot!$B$4:$B$9</c:f>
              <c:strCache>
                <c:ptCount val="5"/>
                <c:pt idx="0">
                  <c:v>2025</c:v>
                </c:pt>
                <c:pt idx="1">
                  <c:v>2026</c:v>
                </c:pt>
                <c:pt idx="2">
                  <c:v>2027</c:v>
                </c:pt>
                <c:pt idx="3">
                  <c:v>2028</c:v>
                </c:pt>
                <c:pt idx="4">
                  <c:v>2029</c:v>
                </c:pt>
              </c:strCache>
            </c:strRef>
          </c:cat>
          <c:val>
            <c:numRef>
              <c:f>Pivot!$E$4:$E$9</c:f>
              <c:numCache>
                <c:formatCode>_(* #,##0_);_(* \(#,##0\);_(* "-"??_);_(@_)</c:formatCode>
                <c:ptCount val="5"/>
                <c:pt idx="0">
                  <c:v>39513600</c:v>
                </c:pt>
                <c:pt idx="1">
                  <c:v>45227266.560000002</c:v>
                </c:pt>
                <c:pt idx="2">
                  <c:v>51559083.878400013</c:v>
                </c:pt>
                <c:pt idx="3">
                  <c:v>58777355.621376023</c:v>
                </c:pt>
                <c:pt idx="4">
                  <c:v>67006185.408368662</c:v>
                </c:pt>
              </c:numCache>
            </c:numRef>
          </c:val>
          <c:extLst>
            <c:ext xmlns:c16="http://schemas.microsoft.com/office/drawing/2014/chart" uri="{C3380CC4-5D6E-409C-BE32-E72D297353CC}">
              <c16:uniqueId val="{00000002-096A-4082-BC36-BF9B438CB507}"/>
            </c:ext>
          </c:extLst>
        </c:ser>
        <c:dLbls>
          <c:showLegendKey val="0"/>
          <c:showVal val="0"/>
          <c:showCatName val="0"/>
          <c:showSerName val="0"/>
          <c:showPercent val="0"/>
          <c:showBubbleSize val="0"/>
        </c:dLbls>
        <c:gapWidth val="100"/>
        <c:overlap val="-24"/>
        <c:axId val="780248160"/>
        <c:axId val="780247328"/>
      </c:barChart>
      <c:catAx>
        <c:axId val="78024816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780247328"/>
        <c:crosses val="autoZero"/>
        <c:auto val="1"/>
        <c:lblAlgn val="ctr"/>
        <c:lblOffset val="100"/>
        <c:noMultiLvlLbl val="0"/>
      </c:catAx>
      <c:valAx>
        <c:axId val="780247328"/>
        <c:scaling>
          <c:orientation val="minMax"/>
        </c:scaling>
        <c:delete val="0"/>
        <c:axPos val="l"/>
        <c:numFmt formatCode="_-[$₦-471]\ * #,##0_-;\-[$₦-471]\ * #,##0_-;_-[$₦-471]\ *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780248160"/>
        <c:crosses val="autoZero"/>
        <c:crossBetween val="between"/>
        <c:dispUnits>
          <c:builtInUnit val="millions"/>
          <c:dispUnitsLbl>
            <c:layout>
              <c:manualLayout>
                <c:xMode val="edge"/>
                <c:yMode val="edge"/>
                <c:x val="2.0029412823628322E-2"/>
                <c:y val="0.37997566993608134"/>
              </c:manualLayout>
            </c:layout>
            <c:spPr>
              <a:noFill/>
              <a:ln>
                <a:noFill/>
              </a:ln>
              <a:effectLst/>
            </c:spPr>
            <c:txPr>
              <a:bodyPr rot="-54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dispUnitsLbl>
        </c:dispUnits>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 PeakandLight 5 Years Financial Model (Final).xlsx]Pivot!PivotTable4</c:name>
    <c:fmtId val="2"/>
  </c:pivotSource>
  <c:chart>
    <c:title>
      <c:tx>
        <c:rich>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r>
              <a:rPr lang="en-US">
                <a:solidFill>
                  <a:schemeClr val="bg1">
                    <a:lumMod val="95000"/>
                  </a:schemeClr>
                </a:solidFill>
              </a:rPr>
              <a:t> Financial Ratios</a:t>
            </a:r>
          </a:p>
        </c:rich>
      </c:tx>
      <c:layout>
        <c:manualLayout>
          <c:xMode val="edge"/>
          <c:yMode val="edge"/>
          <c:x val="0.36473600174978121"/>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endParaRPr lang="en-US"/>
        </a:p>
      </c:txPr>
    </c:title>
    <c:autoTitleDeleted val="0"/>
    <c:pivotFmts>
      <c:pivotFmt>
        <c:idx val="0"/>
      </c:pivotFmt>
      <c:pivotFmt>
        <c:idx val="1"/>
      </c:pivotFmt>
      <c:pivotFmt>
        <c:idx val="2"/>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3.6882108486439219E-2"/>
              <c:y val="4.4016112569262092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4.521544181977253E-2"/>
              <c:y val="5.327537182852143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4.521544181977253E-2"/>
              <c:y val="5.327537182852143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4.5215441819772627E-2"/>
              <c:y val="3.938648293963254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4.2437664041994852E-2"/>
              <c:y val="5.7905001458151063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4.521544181977253E-2"/>
              <c:y val="4.4016112569262175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
        <c:dLbl>
          <c:idx val="0"/>
          <c:layout>
            <c:manualLayout>
              <c:x val="-3.6882108486439219E-2"/>
              <c:y val="4.4016112569262092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4.521544181977253E-2"/>
              <c:y val="5.327537182852143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4.521544181977253E-2"/>
              <c:y val="5.327537182852143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4.5215441819772627E-2"/>
              <c:y val="3.938648293963254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4.2437664041994852E-2"/>
              <c:y val="5.7905001458151063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4.521544181977253E-2"/>
              <c:y val="4.4016112569262175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3.6882108486439219E-2"/>
              <c:y val="4.4016112569262092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4.521544181977253E-2"/>
              <c:y val="5.327537182852143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6"/>
        <c:dLbl>
          <c:idx val="0"/>
          <c:layout>
            <c:manualLayout>
              <c:x val="-4.521544181977253E-2"/>
              <c:y val="5.3275371828521434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4.5215441819772627E-2"/>
              <c:y val="3.938648293963254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8"/>
        <c:dLbl>
          <c:idx val="0"/>
          <c:layout>
            <c:manualLayout>
              <c:x val="-4.2437664041994852E-2"/>
              <c:y val="5.7905001458151063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9"/>
        <c:dLbl>
          <c:idx val="0"/>
          <c:layout>
            <c:manualLayout>
              <c:x val="-4.521544181977253E-2"/>
              <c:y val="4.4016112569262175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0"/>
      </c:pivotFmt>
      <c:pivotFmt>
        <c:idx val="31"/>
      </c:pivotFmt>
      <c:pivotFmt>
        <c:idx val="32"/>
      </c:pivotFmt>
      <c:pivotFmt>
        <c:idx val="3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6"/>
        <c:dLbl>
          <c:idx val="0"/>
          <c:layout>
            <c:manualLayout>
              <c:x val="-4.6507232091330307E-2"/>
              <c:y val="5.7383440063759797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7"/>
        <c:dLbl>
          <c:idx val="0"/>
          <c:layout>
            <c:manualLayout>
              <c:x val="-3.541921858316141E-2"/>
              <c:y val="6.216241438298173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8"/>
        <c:dLbl>
          <c:idx val="0"/>
          <c:layout>
            <c:manualLayout>
              <c:x val="-4.6507232091330307E-2"/>
              <c:y val="3.8267542786872041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9"/>
        <c:dLbl>
          <c:idx val="0"/>
          <c:layout>
            <c:manualLayout>
              <c:x val="-6.3139252353583683E-2"/>
              <c:y val="3.3488568467650061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0"/>
      </c:pivotFmt>
      <c:pivotFmt>
        <c:idx val="41"/>
      </c:pivotFmt>
      <c:pivotFmt>
        <c:idx val="42"/>
      </c:pivotFmt>
      <c:pivotFmt>
        <c:idx val="43"/>
      </c:pivotFmt>
      <c:pivotFmt>
        <c:idx val="44"/>
      </c:pivotFmt>
      <c:pivotFmt>
        <c:idx val="45"/>
      </c:pivotFmt>
      <c:pivotFmt>
        <c:idx val="46"/>
      </c:pivotFmt>
      <c:pivotFmt>
        <c:idx val="4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1"/>
        <c:spPr>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52"/>
        <c:spPr>
          <a:ln w="28575" cap="rnd">
            <a:solidFill>
              <a:schemeClr val="accent1"/>
            </a:solidFill>
            <a:round/>
          </a:ln>
          <a:effectLst/>
        </c:spPr>
        <c:marker>
          <c:symbol val="circle"/>
          <c:size val="5"/>
          <c:spPr>
            <a:solidFill>
              <a:schemeClr val="accent5"/>
            </a:solidFill>
            <a:ln w="9525">
              <a:solidFill>
                <a:schemeClr val="accent5"/>
              </a:solidFill>
            </a:ln>
            <a:effectLst/>
          </c:spPr>
        </c:marker>
      </c:pivotFmt>
    </c:pivotFmts>
    <c:plotArea>
      <c:layout>
        <c:manualLayout>
          <c:layoutTarget val="inner"/>
          <c:xMode val="edge"/>
          <c:yMode val="edge"/>
          <c:x val="8.4456036745406818E-2"/>
          <c:y val="0.1300462962962963"/>
          <c:w val="0.88498840769903764"/>
          <c:h val="0.65665099154272388"/>
        </c:manualLayout>
      </c:layout>
      <c:lineChart>
        <c:grouping val="standard"/>
        <c:varyColors val="0"/>
        <c:ser>
          <c:idx val="0"/>
          <c:order val="0"/>
          <c:tx>
            <c:strRef>
              <c:f>Pivot!$C$41</c:f>
              <c:strCache>
                <c:ptCount val="1"/>
                <c:pt idx="0">
                  <c:v>Sum of GP Margin</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delete val="1"/>
          </c:dLbls>
          <c:cat>
            <c:strRef>
              <c:f>Pivot!$B$42:$B$47</c:f>
              <c:strCache>
                <c:ptCount val="5"/>
                <c:pt idx="0">
                  <c:v>2025</c:v>
                </c:pt>
                <c:pt idx="1">
                  <c:v>2026</c:v>
                </c:pt>
                <c:pt idx="2">
                  <c:v>2027</c:v>
                </c:pt>
                <c:pt idx="3">
                  <c:v>2028</c:v>
                </c:pt>
                <c:pt idx="4">
                  <c:v>2029</c:v>
                </c:pt>
              </c:strCache>
            </c:strRef>
          </c:cat>
          <c:val>
            <c:numRef>
              <c:f>Pivot!$C$42:$C$47</c:f>
              <c:numCache>
                <c:formatCode>0%</c:formatCode>
                <c:ptCount val="5"/>
                <c:pt idx="0">
                  <c:v>0.7</c:v>
                </c:pt>
                <c:pt idx="1">
                  <c:v>0.70000000000000007</c:v>
                </c:pt>
                <c:pt idx="2">
                  <c:v>0.7</c:v>
                </c:pt>
                <c:pt idx="3">
                  <c:v>0.70000000000000007</c:v>
                </c:pt>
                <c:pt idx="4">
                  <c:v>0.7</c:v>
                </c:pt>
              </c:numCache>
            </c:numRef>
          </c:val>
          <c:smooth val="0"/>
          <c:extLst>
            <c:ext xmlns:c16="http://schemas.microsoft.com/office/drawing/2014/chart" uri="{C3380CC4-5D6E-409C-BE32-E72D297353CC}">
              <c16:uniqueId val="{00000000-99F0-46AE-93A5-84A9118B300F}"/>
            </c:ext>
          </c:extLst>
        </c:ser>
        <c:ser>
          <c:idx val="1"/>
          <c:order val="1"/>
          <c:tx>
            <c:strRef>
              <c:f>Pivot!$D$41</c:f>
              <c:strCache>
                <c:ptCount val="1"/>
                <c:pt idx="0">
                  <c:v>Sum of NP Margin</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dLbls>
            <c:delete val="1"/>
          </c:dLbls>
          <c:cat>
            <c:strRef>
              <c:f>Pivot!$B$42:$B$47</c:f>
              <c:strCache>
                <c:ptCount val="5"/>
                <c:pt idx="0">
                  <c:v>2025</c:v>
                </c:pt>
                <c:pt idx="1">
                  <c:v>2026</c:v>
                </c:pt>
                <c:pt idx="2">
                  <c:v>2027</c:v>
                </c:pt>
                <c:pt idx="3">
                  <c:v>2028</c:v>
                </c:pt>
                <c:pt idx="4">
                  <c:v>2029</c:v>
                </c:pt>
              </c:strCache>
            </c:strRef>
          </c:cat>
          <c:val>
            <c:numRef>
              <c:f>Pivot!$D$42:$D$47</c:f>
              <c:numCache>
                <c:formatCode>0%</c:formatCode>
                <c:ptCount val="5"/>
                <c:pt idx="0">
                  <c:v>0.44473356009070297</c:v>
                </c:pt>
                <c:pt idx="1">
                  <c:v>0.44476386605664464</c:v>
                </c:pt>
                <c:pt idx="2">
                  <c:v>0.47488058426021451</c:v>
                </c:pt>
                <c:pt idx="3">
                  <c:v>0.49927416891271242</c:v>
                </c:pt>
                <c:pt idx="4">
                  <c:v>0.52269663939711608</c:v>
                </c:pt>
              </c:numCache>
            </c:numRef>
          </c:val>
          <c:smooth val="0"/>
          <c:extLst>
            <c:ext xmlns:c16="http://schemas.microsoft.com/office/drawing/2014/chart" uri="{C3380CC4-5D6E-409C-BE32-E72D297353CC}">
              <c16:uniqueId val="{00000001-99F0-46AE-93A5-84A9118B300F}"/>
            </c:ext>
          </c:extLst>
        </c:ser>
        <c:ser>
          <c:idx val="2"/>
          <c:order val="2"/>
          <c:tx>
            <c:strRef>
              <c:f>Pivot!$E$41</c:f>
              <c:strCache>
                <c:ptCount val="1"/>
                <c:pt idx="0">
                  <c:v>Sum of ROCE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dLbls>
            <c:delete val="1"/>
          </c:dLbls>
          <c:cat>
            <c:strRef>
              <c:f>Pivot!$B$42:$B$47</c:f>
              <c:strCache>
                <c:ptCount val="5"/>
                <c:pt idx="0">
                  <c:v>2025</c:v>
                </c:pt>
                <c:pt idx="1">
                  <c:v>2026</c:v>
                </c:pt>
                <c:pt idx="2">
                  <c:v>2027</c:v>
                </c:pt>
                <c:pt idx="3">
                  <c:v>2028</c:v>
                </c:pt>
                <c:pt idx="4">
                  <c:v>2029</c:v>
                </c:pt>
              </c:strCache>
            </c:strRef>
          </c:cat>
          <c:val>
            <c:numRef>
              <c:f>Pivot!$E$42:$E$47</c:f>
              <c:numCache>
                <c:formatCode>0%</c:formatCode>
                <c:ptCount val="5"/>
                <c:pt idx="0">
                  <c:v>0.69032519445855012</c:v>
                </c:pt>
                <c:pt idx="1">
                  <c:v>0.49615423259165897</c:v>
                </c:pt>
                <c:pt idx="2">
                  <c:v>0.41565183893574575</c:v>
                </c:pt>
                <c:pt idx="3">
                  <c:v>0.36267455773095042</c:v>
                </c:pt>
                <c:pt idx="4">
                  <c:v>0.3267658780593341</c:v>
                </c:pt>
              </c:numCache>
            </c:numRef>
          </c:val>
          <c:smooth val="0"/>
          <c:extLst>
            <c:ext xmlns:c16="http://schemas.microsoft.com/office/drawing/2014/chart" uri="{C3380CC4-5D6E-409C-BE32-E72D297353CC}">
              <c16:uniqueId val="{00000002-99F0-46AE-93A5-84A9118B300F}"/>
            </c:ext>
          </c:extLst>
        </c:ser>
        <c:dLbls>
          <c:dLblPos val="t"/>
          <c:showLegendKey val="0"/>
          <c:showVal val="1"/>
          <c:showCatName val="0"/>
          <c:showSerName val="0"/>
          <c:showPercent val="0"/>
          <c:showBubbleSize val="0"/>
        </c:dLbls>
        <c:marker val="1"/>
        <c:smooth val="0"/>
        <c:axId val="780253568"/>
        <c:axId val="780256480"/>
      </c:lineChart>
      <c:catAx>
        <c:axId val="780253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780256480"/>
        <c:crosses val="autoZero"/>
        <c:auto val="1"/>
        <c:lblAlgn val="ctr"/>
        <c:lblOffset val="100"/>
        <c:noMultiLvlLbl val="0"/>
      </c:catAx>
      <c:valAx>
        <c:axId val="78025648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780253568"/>
        <c:crosses val="autoZero"/>
        <c:crossBetween val="between"/>
        <c:majorUnit val="0.2"/>
      </c:valAx>
      <c:spPr>
        <a:noFill/>
        <a:ln>
          <a:noFill/>
        </a:ln>
        <a:effectLst/>
      </c:spPr>
    </c:plotArea>
    <c:legend>
      <c:legendPos val="b"/>
      <c:layout>
        <c:manualLayout>
          <c:xMode val="edge"/>
          <c:yMode val="edge"/>
          <c:x val="8.0713535496048913E-2"/>
          <c:y val="0.90828912272032558"/>
          <c:w val="0.83857292900790215"/>
          <c:h val="2.06802471023624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 PeakandLight 5 Years Financial Model (Final).xlsx]Pivot!PivotTable2</c:name>
    <c:fmtId val="2"/>
  </c:pivotSource>
  <c:chart>
    <c:title>
      <c:tx>
        <c:rich>
          <a:bodyPr rot="0" spcFirstLastPara="1" vertOverflow="ellipsis" vert="horz" wrap="square" anchor="ctr" anchorCtr="1"/>
          <a:lstStyle/>
          <a:p>
            <a:pPr>
              <a:defRPr sz="1600" b="1" i="0" u="none" strike="noStrike" kern="1200" baseline="0">
                <a:solidFill>
                  <a:schemeClr val="bg1">
                    <a:lumMod val="95000"/>
                  </a:schemeClr>
                </a:solidFill>
                <a:latin typeface="+mn-lt"/>
                <a:ea typeface="+mn-ea"/>
                <a:cs typeface="+mn-cs"/>
              </a:defRPr>
            </a:pPr>
            <a:r>
              <a:rPr lang="en-US">
                <a:solidFill>
                  <a:schemeClr val="bg1">
                    <a:lumMod val="95000"/>
                  </a:schemeClr>
                </a:solidFill>
              </a:rPr>
              <a:t>OPEX ITEMS</a:t>
            </a:r>
          </a:p>
        </c:rich>
      </c:tx>
      <c:layout/>
      <c:overlay val="0"/>
      <c:spPr>
        <a:noFill/>
        <a:ln>
          <a:noFill/>
        </a:ln>
        <a:effectLst/>
      </c:spPr>
      <c:txPr>
        <a:bodyPr rot="0" spcFirstLastPara="1" vertOverflow="ellipsis" vert="horz" wrap="square" anchor="ctr" anchorCtr="1"/>
        <a:lstStyle/>
        <a:p>
          <a:pPr>
            <a:defRPr sz="1600" b="1" i="0" u="none" strike="noStrike" kern="1200" baseline="0">
              <a:solidFill>
                <a:schemeClr val="bg1">
                  <a:lumMod val="9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percentStacked"/>
        <c:varyColors val="0"/>
        <c:ser>
          <c:idx val="0"/>
          <c:order val="0"/>
          <c:tx>
            <c:strRef>
              <c:f>Pivot!$C$22:$C$23</c:f>
              <c:strCache>
                <c:ptCount val="1"/>
                <c:pt idx="0">
                  <c:v>Dep. &amp; Amort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Pivot!$B$24:$B$29</c:f>
              <c:strCache>
                <c:ptCount val="5"/>
                <c:pt idx="0">
                  <c:v>2025</c:v>
                </c:pt>
                <c:pt idx="1">
                  <c:v>2026</c:v>
                </c:pt>
                <c:pt idx="2">
                  <c:v>2027</c:v>
                </c:pt>
                <c:pt idx="3">
                  <c:v>2028</c:v>
                </c:pt>
                <c:pt idx="4">
                  <c:v>2029</c:v>
                </c:pt>
              </c:strCache>
            </c:strRef>
          </c:cat>
          <c:val>
            <c:numRef>
              <c:f>Pivot!$C$24:$C$29</c:f>
              <c:numCache>
                <c:formatCode>_(* #,##0_);_(* \(#,##0\);_(* "-"??_);_(@_)</c:formatCode>
                <c:ptCount val="5"/>
                <c:pt idx="0">
                  <c:v>2104800</c:v>
                </c:pt>
                <c:pt idx="1">
                  <c:v>2104800</c:v>
                </c:pt>
                <c:pt idx="2">
                  <c:v>2104800</c:v>
                </c:pt>
                <c:pt idx="3">
                  <c:v>2274800</c:v>
                </c:pt>
                <c:pt idx="4">
                  <c:v>2274800</c:v>
                </c:pt>
              </c:numCache>
            </c:numRef>
          </c:val>
          <c:extLst>
            <c:ext xmlns:c16="http://schemas.microsoft.com/office/drawing/2014/chart" uri="{C3380CC4-5D6E-409C-BE32-E72D297353CC}">
              <c16:uniqueId val="{00000000-6D2B-421B-B886-97B6B3A14D36}"/>
            </c:ext>
          </c:extLst>
        </c:ser>
        <c:ser>
          <c:idx val="1"/>
          <c:order val="1"/>
          <c:tx>
            <c:strRef>
              <c:f>Pivot!$D$22:$D$23</c:f>
              <c:strCache>
                <c:ptCount val="1"/>
                <c:pt idx="0">
                  <c:v>Employee Cost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Pivot!$B$24:$B$29</c:f>
              <c:strCache>
                <c:ptCount val="5"/>
                <c:pt idx="0">
                  <c:v>2025</c:v>
                </c:pt>
                <c:pt idx="1">
                  <c:v>2026</c:v>
                </c:pt>
                <c:pt idx="2">
                  <c:v>2027</c:v>
                </c:pt>
                <c:pt idx="3">
                  <c:v>2028</c:v>
                </c:pt>
                <c:pt idx="4">
                  <c:v>2029</c:v>
                </c:pt>
              </c:strCache>
            </c:strRef>
          </c:cat>
          <c:val>
            <c:numRef>
              <c:f>Pivot!$D$24:$D$29</c:f>
              <c:numCache>
                <c:formatCode>_(* #,##0_);_(* \(#,##0\);_(* "-"??_);_(@_)</c:formatCode>
                <c:ptCount val="5"/>
                <c:pt idx="0">
                  <c:v>5520000</c:v>
                </c:pt>
                <c:pt idx="1">
                  <c:v>5520000</c:v>
                </c:pt>
                <c:pt idx="2">
                  <c:v>5520000</c:v>
                </c:pt>
                <c:pt idx="3">
                  <c:v>5520000</c:v>
                </c:pt>
                <c:pt idx="4">
                  <c:v>5520000</c:v>
                </c:pt>
              </c:numCache>
            </c:numRef>
          </c:val>
          <c:extLst>
            <c:ext xmlns:c16="http://schemas.microsoft.com/office/drawing/2014/chart" uri="{C3380CC4-5D6E-409C-BE32-E72D297353CC}">
              <c16:uniqueId val="{00000001-6D2B-421B-B886-97B6B3A14D36}"/>
            </c:ext>
          </c:extLst>
        </c:ser>
        <c:ser>
          <c:idx val="2"/>
          <c:order val="2"/>
          <c:tx>
            <c:strRef>
              <c:f>Pivot!$E$22:$E$23</c:f>
              <c:strCache>
                <c:ptCount val="1"/>
                <c:pt idx="0">
                  <c:v>Other Expenses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Pivot!$B$24:$B$29</c:f>
              <c:strCache>
                <c:ptCount val="5"/>
                <c:pt idx="0">
                  <c:v>2025</c:v>
                </c:pt>
                <c:pt idx="1">
                  <c:v>2026</c:v>
                </c:pt>
                <c:pt idx="2">
                  <c:v>2027</c:v>
                </c:pt>
                <c:pt idx="3">
                  <c:v>2028</c:v>
                </c:pt>
                <c:pt idx="4">
                  <c:v>2029</c:v>
                </c:pt>
              </c:strCache>
            </c:strRef>
          </c:cat>
          <c:val>
            <c:numRef>
              <c:f>Pivot!$E$24:$E$29</c:f>
              <c:numCache>
                <c:formatCode>_(* #,##0_);_(* \(#,##0\);_(* "-"??_);_(@_)</c:formatCode>
                <c:ptCount val="5"/>
                <c:pt idx="0">
                  <c:v>8809480</c:v>
                </c:pt>
                <c:pt idx="1">
                  <c:v>7066103.8080000002</c:v>
                </c:pt>
                <c:pt idx="2">
                  <c:v>8956558.3411200009</c:v>
                </c:pt>
                <c:pt idx="3">
                  <c:v>9059676.5088768005</c:v>
                </c:pt>
                <c:pt idx="4">
                  <c:v>9177231.2201195527</c:v>
                </c:pt>
              </c:numCache>
            </c:numRef>
          </c:val>
          <c:extLst>
            <c:ext xmlns:c16="http://schemas.microsoft.com/office/drawing/2014/chart" uri="{C3380CC4-5D6E-409C-BE32-E72D297353CC}">
              <c16:uniqueId val="{00000002-6D2B-421B-B886-97B6B3A14D36}"/>
            </c:ext>
          </c:extLst>
        </c:ser>
        <c:dLbls>
          <c:showLegendKey val="0"/>
          <c:showVal val="0"/>
          <c:showCatName val="0"/>
          <c:showSerName val="0"/>
          <c:showPercent val="0"/>
          <c:showBubbleSize val="0"/>
        </c:dLbls>
        <c:gapWidth val="150"/>
        <c:overlap val="100"/>
        <c:axId val="1417907744"/>
        <c:axId val="1417919392"/>
      </c:barChart>
      <c:catAx>
        <c:axId val="14179077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417919392"/>
        <c:crosses val="autoZero"/>
        <c:auto val="1"/>
        <c:lblAlgn val="ctr"/>
        <c:lblOffset val="100"/>
        <c:noMultiLvlLbl val="0"/>
      </c:catAx>
      <c:valAx>
        <c:axId val="141791939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417907744"/>
        <c:crosses val="autoZero"/>
        <c:crossBetween val="between"/>
        <c:majorUnit val="0.2"/>
      </c:valAx>
      <c:spPr>
        <a:noFill/>
        <a:ln>
          <a:noFill/>
        </a:ln>
        <a:effectLst/>
      </c:spPr>
    </c:plotArea>
    <c:legend>
      <c:legendPos val="b"/>
      <c:layout>
        <c:manualLayout>
          <c:xMode val="edge"/>
          <c:yMode val="edge"/>
          <c:x val="5.5299759113079709E-2"/>
          <c:y val="0.91261519393409141"/>
          <c:w val="0.91378541369626742"/>
          <c:h val="5.96070282881306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[The PeakandLight 5 Years Financial Model (Final).xlsx]Pivot!PivotTable8</c:name>
    <c:fmtId val="2"/>
  </c:pivotSource>
  <c:chart>
    <c:title>
      <c:tx>
        <c:rich>
          <a:bodyPr rot="0" spcFirstLastPara="1" vertOverflow="ellipsis" vert="horz" wrap="square" anchor="ctr" anchorCtr="1"/>
          <a:lstStyle/>
          <a:p>
            <a:pPr>
              <a:defRPr sz="1800" b="1" i="0" u="none" strike="noStrike" kern="1200" baseline="0">
                <a:solidFill>
                  <a:schemeClr val="bg1">
                    <a:lumMod val="95000"/>
                  </a:schemeClr>
                </a:solidFill>
                <a:latin typeface="+mn-lt"/>
                <a:ea typeface="+mn-ea"/>
                <a:cs typeface="+mn-cs"/>
              </a:defRPr>
            </a:pPr>
            <a:r>
              <a:rPr lang="en-US">
                <a:solidFill>
                  <a:schemeClr val="bg1">
                    <a:lumMod val="95000"/>
                  </a:schemeClr>
                </a:solidFill>
              </a:rPr>
              <a:t>OPEX</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bg1">
                  <a:lumMod val="95000"/>
                </a:schemeClr>
              </a:solidFill>
              <a:latin typeface="+mn-lt"/>
              <a:ea typeface="+mn-ea"/>
              <a:cs typeface="+mn-cs"/>
            </a:defRPr>
          </a:pPr>
          <a:endParaRPr lang="en-US"/>
        </a:p>
      </c:txPr>
    </c:title>
    <c:autoTitleDeleted val="0"/>
    <c:pivotFmts>
      <c:pivotFmt>
        <c:idx val="0"/>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1"/>
          <c:showBubbleSize val="0"/>
          <c:extLst>
            <c:ext xmlns:c15="http://schemas.microsoft.com/office/drawing/2012/chart" uri="{CE6537A1-D6FC-4f65-9D91-7224C49458BB}"/>
          </c:extLst>
        </c:dLbl>
      </c:pivotFmt>
      <c:pivotFmt>
        <c:idx val="3"/>
        <c:dLbl>
          <c:idx val="0"/>
          <c:showLegendKey val="0"/>
          <c:showVal val="0"/>
          <c:showCatName val="0"/>
          <c:showSerName val="0"/>
          <c:showPercent val="1"/>
          <c:showBubbleSize val="0"/>
          <c:extLst>
            <c:ext xmlns:c15="http://schemas.microsoft.com/office/drawing/2012/chart" uri="{CE6537A1-D6FC-4f65-9D91-7224C49458BB}"/>
          </c:extLst>
        </c:dLbl>
      </c:pivotFmt>
      <c:pivotFmt>
        <c:idx val="4"/>
        <c:dLbl>
          <c:idx val="0"/>
          <c:showLegendKey val="0"/>
          <c:showVal val="0"/>
          <c:showCatName val="0"/>
          <c:showSerName val="0"/>
          <c:showPercent val="1"/>
          <c:showBubbleSize val="0"/>
          <c:extLst>
            <c:ext xmlns:c15="http://schemas.microsoft.com/office/drawing/2012/chart" uri="{CE6537A1-D6FC-4f65-9D91-7224C49458BB}"/>
          </c:extLst>
        </c:dLbl>
      </c:pivotFmt>
      <c:pivotFmt>
        <c:idx val="5"/>
        <c:dLbl>
          <c:idx val="0"/>
          <c:showLegendKey val="0"/>
          <c:showVal val="0"/>
          <c:showCatName val="0"/>
          <c:showSerName val="0"/>
          <c:showPercent val="1"/>
          <c:showBubbleSize val="0"/>
          <c:extLst>
            <c:ext xmlns:c15="http://schemas.microsoft.com/office/drawing/2012/chart" uri="{CE6537A1-D6FC-4f65-9D91-7224C49458BB}"/>
          </c:extLst>
        </c:dLbl>
      </c:pivotFmt>
      <c:pivotFmt>
        <c:idx val="6"/>
        <c:dLbl>
          <c:idx val="0"/>
          <c:showLegendKey val="0"/>
          <c:showVal val="0"/>
          <c:showCatName val="0"/>
          <c:showSerName val="0"/>
          <c:showPercent val="1"/>
          <c:showBubbleSize val="0"/>
          <c:extLst>
            <c:ext xmlns:c15="http://schemas.microsoft.com/office/drawing/2012/chart" uri="{CE6537A1-D6FC-4f65-9D91-7224C49458BB}"/>
          </c:extLst>
        </c:dLbl>
      </c:pivotFmt>
      <c:pivotFmt>
        <c:idx val="7"/>
        <c:dLbl>
          <c:idx val="0"/>
          <c:showLegendKey val="0"/>
          <c:showVal val="0"/>
          <c:showCatName val="0"/>
          <c:showSerName val="0"/>
          <c:showPercent val="1"/>
          <c:showBubbleSize val="0"/>
          <c:extLst>
            <c:ext xmlns:c15="http://schemas.microsoft.com/office/drawing/2012/chart" uri="{CE6537A1-D6FC-4f65-9D91-7224C49458BB}"/>
          </c:extLst>
        </c:dLbl>
      </c:pivotFmt>
      <c:pivotFmt>
        <c:idx val="8"/>
        <c:dLbl>
          <c:idx val="0"/>
          <c:showLegendKey val="0"/>
          <c:showVal val="1"/>
          <c:showCatName val="0"/>
          <c:showSerName val="0"/>
          <c:showPercent val="1"/>
          <c:showBubbleSize val="0"/>
          <c:extLst>
            <c:ext xmlns:c15="http://schemas.microsoft.com/office/drawing/2012/chart" uri="{CE6537A1-D6FC-4f65-9D91-7224C49458BB}"/>
          </c:extLst>
        </c:dLbl>
      </c:pivotFmt>
      <c:pivotFmt>
        <c:idx val="9"/>
        <c:dLbl>
          <c:idx val="0"/>
          <c:showLegendKey val="0"/>
          <c:showVal val="1"/>
          <c:showCatName val="0"/>
          <c:showSerName val="0"/>
          <c:showPercent val="1"/>
          <c:showBubbleSize val="0"/>
          <c:extLst>
            <c:ext xmlns:c15="http://schemas.microsoft.com/office/drawing/2012/chart" uri="{CE6537A1-D6FC-4f65-9D91-7224C49458BB}"/>
          </c:extLst>
        </c:dLbl>
      </c:pivotFmt>
      <c:pivotFmt>
        <c:idx val="10"/>
        <c:dLbl>
          <c:idx val="0"/>
          <c:showLegendKey val="0"/>
          <c:showVal val="0"/>
          <c:showCatName val="0"/>
          <c:showSerName val="0"/>
          <c:showPercent val="1"/>
          <c:showBubbleSize val="0"/>
          <c:extLst>
            <c:ext xmlns:c15="http://schemas.microsoft.com/office/drawing/2012/chart" uri="{CE6537A1-D6FC-4f65-9D91-7224C49458BB}"/>
          </c:extLst>
        </c:dLbl>
      </c:pivotFmt>
      <c:pivotFmt>
        <c:idx val="11"/>
        <c:dLbl>
          <c:idx val="0"/>
          <c:showLegendKey val="0"/>
          <c:showVal val="0"/>
          <c:showCatName val="0"/>
          <c:showSerName val="0"/>
          <c:showPercent val="1"/>
          <c:showBubbleSize val="0"/>
          <c:extLst>
            <c:ext xmlns:c15="http://schemas.microsoft.com/office/drawing/2012/chart" uri="{CE6537A1-D6FC-4f65-9D91-7224C49458BB}"/>
          </c:extLst>
        </c:dLbl>
      </c:pivotFmt>
      <c:pivotFmt>
        <c:idx val="12"/>
        <c:dLbl>
          <c:idx val="0"/>
          <c:showLegendKey val="0"/>
          <c:showVal val="0"/>
          <c:showCatName val="0"/>
          <c:showSerName val="0"/>
          <c:showPercent val="1"/>
          <c:showBubbleSize val="0"/>
          <c:extLst>
            <c:ext xmlns:c15="http://schemas.microsoft.com/office/drawing/2012/chart" uri="{CE6537A1-D6FC-4f65-9D91-7224C49458BB}"/>
          </c:extLst>
        </c:dLbl>
      </c:pivotFmt>
      <c:pivotFmt>
        <c:idx val="13"/>
        <c:dLbl>
          <c:idx val="0"/>
          <c:showLegendKey val="0"/>
          <c:showVal val="1"/>
          <c:showCatName val="0"/>
          <c:showSerName val="0"/>
          <c:showPercent val="1"/>
          <c:showBubbleSize val="0"/>
          <c:extLst>
            <c:ext xmlns:c15="http://schemas.microsoft.com/office/drawing/2012/chart" uri="{CE6537A1-D6FC-4f65-9D91-7224C49458BB}"/>
          </c:extLst>
        </c:dLbl>
      </c:pivotFmt>
      <c:pivotFmt>
        <c:idx val="14"/>
        <c:dLbl>
          <c:idx val="0"/>
          <c:showLegendKey val="0"/>
          <c:showVal val="0"/>
          <c:showCatName val="0"/>
          <c:showSerName val="0"/>
          <c:showPercent val="1"/>
          <c:showBubbleSize val="0"/>
          <c:extLst>
            <c:ext xmlns:c15="http://schemas.microsoft.com/office/drawing/2012/chart" uri="{CE6537A1-D6FC-4f65-9D91-7224C49458BB}"/>
          </c:extLst>
        </c:dLbl>
      </c:pivotFmt>
      <c:pivotFmt>
        <c:idx val="15"/>
        <c:dLbl>
          <c:idx val="0"/>
          <c:showLegendKey val="0"/>
          <c:showVal val="0"/>
          <c:showCatName val="0"/>
          <c:showSerName val="0"/>
          <c:showPercent val="1"/>
          <c:showBubbleSize val="0"/>
          <c:extLst>
            <c:ext xmlns:c15="http://schemas.microsoft.com/office/drawing/2012/chart" uri="{CE6537A1-D6FC-4f65-9D91-7224C49458BB}"/>
          </c:extLst>
        </c:dLbl>
      </c:pivotFmt>
      <c:pivotFmt>
        <c:idx val="16"/>
        <c:dLbl>
          <c:idx val="0"/>
          <c:showLegendKey val="0"/>
          <c:showVal val="0"/>
          <c:showCatName val="0"/>
          <c:showSerName val="0"/>
          <c:showPercent val="1"/>
          <c:showBubbleSize val="0"/>
          <c:extLst>
            <c:ext xmlns:c15="http://schemas.microsoft.com/office/drawing/2012/chart" uri="{CE6537A1-D6FC-4f65-9D91-7224C49458BB}"/>
          </c:extLst>
        </c:dLbl>
      </c:pivotFmt>
      <c:pivotFmt>
        <c:idx val="17"/>
        <c:dLbl>
          <c:idx val="0"/>
          <c:showLegendKey val="0"/>
          <c:showVal val="1"/>
          <c:showCatName val="0"/>
          <c:showSerName val="0"/>
          <c:showPercent val="0"/>
          <c:showBubbleSize val="0"/>
          <c:extLst>
            <c:ext xmlns:c15="http://schemas.microsoft.com/office/drawing/2012/chart" uri="{CE6537A1-D6FC-4f65-9D91-7224C49458BB}"/>
          </c:extLst>
        </c:dLbl>
      </c:pivotFmt>
      <c:pivotFmt>
        <c:idx val="18"/>
        <c:dLbl>
          <c:idx val="0"/>
          <c:tx>
            <c:rich>
              <a:bodyPr/>
              <a:lstStyle/>
              <a:p>
                <a:fld id="{2EC1D913-7BB3-481B-94EE-34C356DD0A57}" type="PERCENTAGE">
                  <a:rPr lang="en-US"/>
                  <a:pPr/>
                  <a:t>[PERCENTAGE]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19"/>
        <c:dLbl>
          <c:idx val="0"/>
          <c:tx>
            <c:rich>
              <a:bodyPr/>
              <a:lstStyle/>
              <a:p>
                <a:fld id="{0EB85634-FF6E-4B5A-9AF3-6A6558566437}" type="PERCENTAGE">
                  <a:rPr lang="en-US"/>
                  <a:pPr/>
                  <a:t>[PERCENTAGE]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dLbl>
          <c:idx val="0"/>
          <c:tx>
            <c:rich>
              <a:bodyPr/>
              <a:lstStyle/>
              <a:p>
                <a:fld id="{9041C067-2F8B-4237-AA75-7AD4382AF982}" type="PERCENTAGE">
                  <a:rPr lang="en-US"/>
                  <a:pPr/>
                  <a:t>[PERCENTAGE]</a:t>
                </a:fld>
                <a:endParaRPr lang="en-US"/>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1"/>
        <c:spPr>
          <a:solidFill>
            <a:schemeClr val="accent1"/>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9041C067-2F8B-4237-AA75-7AD4382AF982}" type="PERCENTAGE">
                  <a:rPr lang="en-US"/>
                  <a:pPr>
                    <a:defRPr sz="900" b="1" i="0" u="none" strike="noStrike" kern="1200" baseline="0">
                      <a:solidFill>
                        <a:schemeClr val="lt1"/>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2"/>
        <c:spPr>
          <a:solidFill>
            <a:schemeClr val="accent1"/>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2EC1D913-7BB3-481B-94EE-34C356DD0A57}" type="PERCENTAGE">
                  <a:rPr lang="en-US"/>
                  <a:pPr>
                    <a:defRPr sz="900" b="1" i="0" u="none" strike="noStrike" kern="1200" baseline="0">
                      <a:solidFill>
                        <a:schemeClr val="lt1"/>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3"/>
        <c:spPr>
          <a:solidFill>
            <a:schemeClr val="accent1"/>
          </a:solidFill>
          <a:ln>
            <a:noFill/>
          </a:ln>
          <a:effectLst>
            <a:outerShdw blurRad="317500" algn="ctr" rotWithShape="0">
              <a:prstClr val="black">
                <a:alpha val="25000"/>
              </a:prstClr>
            </a:outerShdw>
          </a:effectLst>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0EB85634-FF6E-4B5A-9AF3-6A6558566437}" type="PERCENTAGE">
                  <a:rPr lang="en-US"/>
                  <a:pPr>
                    <a:defRPr sz="900" b="1" i="0" u="none" strike="noStrike" kern="1200" baseline="0">
                      <a:solidFill>
                        <a:schemeClr val="lt1"/>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2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25"/>
        <c:spPr>
          <a:solidFill>
            <a:schemeClr val="accent1"/>
          </a:solidFill>
          <a:ln>
            <a:noFill/>
          </a:ln>
          <a:effectLst>
            <a:outerShdw blurRad="317500" algn="ctr" rotWithShape="0">
              <a:prstClr val="black">
                <a:alpha val="25000"/>
              </a:prstClr>
            </a:outerShdw>
          </a:effectLst>
        </c:spPr>
        <c:dLbl>
          <c:idx val="0"/>
          <c:layout>
            <c:manualLayout>
              <c:x val="9.2785903322641208E-2"/>
              <c:y val="-8.6564546251823332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9041C067-2F8B-4237-AA75-7AD4382AF982}"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15:dlblFieldTable/>
              <c15:showDataLabelsRange val="0"/>
            </c:ext>
          </c:extLst>
        </c:dLbl>
      </c:pivotFmt>
      <c:pivotFmt>
        <c:idx val="26"/>
        <c:spPr>
          <a:solidFill>
            <a:schemeClr val="accent1"/>
          </a:solidFill>
          <a:ln>
            <a:noFill/>
          </a:ln>
          <a:effectLst>
            <a:outerShdw blurRad="317500" algn="ctr" rotWithShape="0">
              <a:prstClr val="black">
                <a:alpha val="25000"/>
              </a:prstClr>
            </a:outerShdw>
          </a:effectLst>
        </c:spPr>
        <c:dLbl>
          <c:idx val="0"/>
          <c:layout>
            <c:manualLayout>
              <c:x val="9.6497339455546796E-2"/>
              <c:y val="7.2137121876519342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2EC1D913-7BB3-481B-94EE-34C356DD0A57}"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15:dlblFieldTable/>
              <c15:showDataLabelsRange val="0"/>
            </c:ext>
          </c:extLst>
        </c:dLbl>
      </c:pivotFmt>
      <c:pivotFmt>
        <c:idx val="27"/>
        <c:spPr>
          <a:solidFill>
            <a:schemeClr val="accent1"/>
          </a:solidFill>
          <a:ln>
            <a:noFill/>
          </a:ln>
          <a:effectLst>
            <a:outerShdw blurRad="317500" algn="ctr" rotWithShape="0">
              <a:prstClr val="black">
                <a:alpha val="25000"/>
              </a:prstClr>
            </a:outerShdw>
          </a:effectLst>
        </c:spPr>
        <c:dLbl>
          <c:idx val="0"/>
          <c:layout>
            <c:manualLayout>
              <c:x val="-0.19670611504399954"/>
              <c:y val="1.9236565833738513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0EB85634-FF6E-4B5A-9AF3-6A6558566437}" type="PERCENTAGE">
                  <a:rPr lang="en-US"/>
                  <a:pPr>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15:dlblFieldTable/>
              <c15:showDataLabelsRange val="0"/>
            </c:ext>
          </c:extLst>
        </c:dLbl>
      </c:pivotFmt>
      <c:pivotFmt>
        <c:idx val="2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349846894138231"/>
          <c:y val="0.16254337999416738"/>
          <c:w val="0.39966994750656171"/>
          <c:h val="0.66611657917760281"/>
        </c:manualLayout>
      </c:layout>
      <c:doughnutChart>
        <c:varyColors val="1"/>
        <c:ser>
          <c:idx val="0"/>
          <c:order val="0"/>
          <c:tx>
            <c:strRef>
              <c:f>Pivot!$C$12</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7AD-4D49-AAB7-759C7709096F}"/>
              </c:ext>
            </c:extLst>
          </c:dPt>
          <c:dPt>
            <c:idx val="1"/>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7AD-4D49-AAB7-759C7709096F}"/>
              </c:ext>
            </c:extLst>
          </c:dPt>
          <c:dPt>
            <c:idx val="2"/>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37AD-4D49-AAB7-759C7709096F}"/>
              </c:ext>
            </c:extLst>
          </c:dPt>
          <c:dLbls>
            <c:dLbl>
              <c:idx val="0"/>
              <c:layout>
                <c:manualLayout>
                  <c:x val="9.2785903322641208E-2"/>
                  <c:y val="-8.6564546251823332E-2"/>
                </c:manualLayout>
              </c:layout>
              <c:tx>
                <c:rich>
                  <a:bodyPr/>
                  <a:lstStyle/>
                  <a:p>
                    <a:fld id="{9041C067-2F8B-4237-AA75-7AD4382AF982}" type="PERCENTAGE">
                      <a:rPr lang="en-US"/>
                      <a:pPr/>
                      <a:t>[PERCENTAGE]</a:t>
                    </a:fld>
                    <a:endParaRPr lang="en-US"/>
                  </a:p>
                </c:rich>
              </c:tx>
              <c:showLegendKey val="0"/>
              <c:showVal val="1"/>
              <c:showCatName val="0"/>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1-37AD-4D49-AAB7-759C7709096F}"/>
                </c:ext>
              </c:extLst>
            </c:dLbl>
            <c:dLbl>
              <c:idx val="1"/>
              <c:layout>
                <c:manualLayout>
                  <c:x val="9.6497339455546796E-2"/>
                  <c:y val="7.2137121876519342E-2"/>
                </c:manualLayout>
              </c:layout>
              <c:tx>
                <c:rich>
                  <a:bodyPr/>
                  <a:lstStyle/>
                  <a:p>
                    <a:fld id="{2EC1D913-7BB3-481B-94EE-34C356DD0A57}" type="PERCENTAGE">
                      <a:rPr lang="en-US"/>
                      <a:pPr/>
                      <a:t>[PERCENTAGE]</a:t>
                    </a:fld>
                    <a:endParaRPr lang="en-US"/>
                  </a:p>
                </c:rich>
              </c:tx>
              <c:showLegendKey val="0"/>
              <c:showVal val="1"/>
              <c:showCatName val="0"/>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3-37AD-4D49-AAB7-759C7709096F}"/>
                </c:ext>
              </c:extLst>
            </c:dLbl>
            <c:dLbl>
              <c:idx val="2"/>
              <c:layout>
                <c:manualLayout>
                  <c:x val="-0.19670611504399954"/>
                  <c:y val="1.9236565833738513E-2"/>
                </c:manualLayout>
              </c:layout>
              <c:tx>
                <c:rich>
                  <a:bodyPr/>
                  <a:lstStyle/>
                  <a:p>
                    <a:fld id="{0EB85634-FF6E-4B5A-9AF3-6A6558566437}" type="PERCENTAGE">
                      <a:rPr lang="en-US"/>
                      <a:pPr/>
                      <a:t>[PERCENTAGE]</a:t>
                    </a:fld>
                    <a:endParaRPr lang="en-US"/>
                  </a:p>
                </c:rich>
              </c:tx>
              <c:showLegendKey val="0"/>
              <c:showVal val="1"/>
              <c:showCatName val="0"/>
              <c:showSerName val="0"/>
              <c:showPercent val="1"/>
              <c:showBubbleSize val="0"/>
              <c:extLst>
                <c:ext xmlns:c15="http://schemas.microsoft.com/office/drawing/2012/chart" uri="{CE6537A1-D6FC-4f65-9D91-7224C49458BB}">
                  <c15:layout/>
                  <c15:dlblFieldTable/>
                  <c15:showDataLabelsRange val="0"/>
                </c:ext>
                <c:ext xmlns:c16="http://schemas.microsoft.com/office/drawing/2014/chart" uri="{C3380CC4-5D6E-409C-BE32-E72D297353CC}">
                  <c16:uniqueId val="{00000005-37AD-4D49-AAB7-759C7709096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Pivot!$B$13:$B$16</c:f>
              <c:strCache>
                <c:ptCount val="3"/>
                <c:pt idx="0">
                  <c:v>Dep. &amp; Amort</c:v>
                </c:pt>
                <c:pt idx="1">
                  <c:v>Employee Cost</c:v>
                </c:pt>
                <c:pt idx="2">
                  <c:v>Other Expenses</c:v>
                </c:pt>
              </c:strCache>
            </c:strRef>
          </c:cat>
          <c:val>
            <c:numRef>
              <c:f>Pivot!$C$13:$C$16</c:f>
              <c:numCache>
                <c:formatCode>_(* #,##0_);_(* \(#,##0\);_(* "-"??_);_(@_)</c:formatCode>
                <c:ptCount val="3"/>
                <c:pt idx="0">
                  <c:v>10864000</c:v>
                </c:pt>
                <c:pt idx="1">
                  <c:v>27600000</c:v>
                </c:pt>
                <c:pt idx="2">
                  <c:v>43069049.878116354</c:v>
                </c:pt>
              </c:numCache>
            </c:numRef>
          </c:val>
          <c:extLst>
            <c:ext xmlns:c16="http://schemas.microsoft.com/office/drawing/2014/chart" uri="{C3380CC4-5D6E-409C-BE32-E72D297353CC}">
              <c16:uniqueId val="{00000006-37AD-4D49-AAB7-759C7709096F}"/>
            </c:ext>
          </c:extLst>
        </c:ser>
        <c:dLbls>
          <c:showLegendKey val="0"/>
          <c:showVal val="0"/>
          <c:showCatName val="0"/>
          <c:showSerName val="0"/>
          <c:showPercent val="1"/>
          <c:showBubbleSize val="0"/>
          <c:showLeaderLines val="1"/>
        </c:dLbls>
        <c:firstSliceAng val="1"/>
        <c:holeSize val="56"/>
      </c:doughnutChart>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trlProps/ctrlProp1.xml><?xml version="1.0" encoding="utf-8"?>
<formControlPr xmlns="http://schemas.microsoft.com/office/spreadsheetml/2009/9/main" objectType="Drop" dropLines="3" dropStyle="combo" dx="16" fmlaLink="'Input Data'!$D$1" fmlaRange="'Input Data'!$D$19:$D$21" sel="2" val="0"/>
</file>

<file path=xl/ctrlProps/ctrlProp2.xml><?xml version="1.0" encoding="utf-8"?>
<formControlPr xmlns="http://schemas.microsoft.com/office/spreadsheetml/2009/9/main" objectType="Drop" dropLines="3" dropStyle="combo" dx="16" fmlaLink="'Input Data'!$D$1" fmlaRange="'Input Data'!$D$19:$D$21" sel="2" val="0"/>
</file>

<file path=xl/ctrlProps/ctrlProp3.xml><?xml version="1.0" encoding="utf-8"?>
<formControlPr xmlns="http://schemas.microsoft.com/office/spreadsheetml/2009/9/main" objectType="Drop" dropLines="3" dropStyle="combo" dx="16" fmlaLink="'Input Data'!$D$1" fmlaRange="'Input Data'!$D$19:$D$21" sel="2" val="0"/>
</file>

<file path=xl/ctrlProps/ctrlProp4.xml><?xml version="1.0" encoding="utf-8"?>
<formControlPr xmlns="http://schemas.microsoft.com/office/spreadsheetml/2009/9/main" objectType="Drop" dropLines="3" dropStyle="combo" dx="16" fmlaLink="'Input Data'!$D$1" fmlaRange="'Input Data'!$D$19:$D$21" sel="2" val="0"/>
</file>

<file path=xl/ctrlProps/ctrlProp5.xml><?xml version="1.0" encoding="utf-8"?>
<formControlPr xmlns="http://schemas.microsoft.com/office/spreadsheetml/2009/9/main" objectType="Drop" dropLines="3" dropStyle="combo" dx="16" fmlaLink="'Input Data'!$D$1" fmlaRange="'Input Data'!$D$19:$D$21" sel="2" val="0"/>
</file>

<file path=xl/ctrlProps/ctrlProp6.xml><?xml version="1.0" encoding="utf-8"?>
<formControlPr xmlns="http://schemas.microsoft.com/office/spreadsheetml/2009/9/main" objectType="Drop" dropLines="3" dropStyle="combo" dx="16" fmlaLink="'Input Data'!$D$1" fmlaRange="'Input Data'!$D$19:$D$21" sel="2" val="0"/>
</file>

<file path=xl/ctrlProps/ctrlProp7.xml><?xml version="1.0" encoding="utf-8"?>
<formControlPr xmlns="http://schemas.microsoft.com/office/spreadsheetml/2009/9/main" objectType="Drop" dropLines="3" dropStyle="combo" dx="16" fmlaLink="'Input Data'!$D$1" fmlaRange="'Input Data'!$D$19:$D$21" sel="2" val="0"/>
</file>

<file path=xl/ctrlProps/ctrlProp8.xml><?xml version="1.0" encoding="utf-8"?>
<formControlPr xmlns="http://schemas.microsoft.com/office/spreadsheetml/2009/9/main" objectType="Drop" dropLines="3" dropStyle="combo" dx="16" fmlaLink="'Input Data'!$D$1" fmlaRange="'Input Data'!$D$19:$D$21" sel="2" val="0"/>
</file>

<file path=xl/ctrlProps/ctrlProp9.xml><?xml version="1.0" encoding="utf-8"?>
<formControlPr xmlns="http://schemas.microsoft.com/office/spreadsheetml/2009/9/main" objectType="Drop" dropLines="3" dropStyle="combo" dx="16" fmlaLink="'Input Data'!$D$1" fmlaRange="'Input Data'!$D$19:$D$21" sel="2" val="0"/>
</file>

<file path=xl/ctrlProps/ctrlProp10.xml><?xml version="1.0" encoding="utf-8"?>
<formControlPr xmlns="http://schemas.microsoft.com/office/spreadsheetml/2009/9/main" objectType="Drop" dropLines="3" dropStyle="combo" dx="16" fmlaLink="'Input Data'!$D$1" fmlaRange="'Input Data'!$D$19:$D$21" sel="2" val="0"/>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85724</xdr:colOff>
      <xdr:row>0</xdr:row>
      <xdr:rowOff>85725</xdr:rowOff>
    </xdr:from>
    <xdr:to>
      <xdr:col>15</xdr:col>
      <xdr:colOff>390523</xdr:colOff>
      <xdr:row>22</xdr:row>
      <xdr:rowOff>180975</xdr:rowOff>
    </xdr:to>
    <xdr:sp macro="" textlink="">
      <xdr:nvSpPr>
        <xdr:cNvPr id="2" name="Rectangle 1"/>
        <xdr:cNvSpPr/>
      </xdr:nvSpPr>
      <xdr:spPr>
        <a:xfrm>
          <a:off x="85724" y="85725"/>
          <a:ext cx="9448799" cy="4286250"/>
        </a:xfrm>
        <a:prstGeom prst="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8</xdr:col>
      <xdr:colOff>266701</xdr:colOff>
      <xdr:row>0</xdr:row>
      <xdr:rowOff>85725</xdr:rowOff>
    </xdr:from>
    <xdr:to>
      <xdr:col>15</xdr:col>
      <xdr:colOff>400050</xdr:colOff>
      <xdr:row>23</xdr:row>
      <xdr:rowOff>1</xdr:rowOff>
    </xdr:to>
    <xdr:pic>
      <xdr:nvPicPr>
        <xdr:cNvPr id="3"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143501" y="85725"/>
          <a:ext cx="4400549" cy="4295776"/>
        </a:xfrm>
        <a:prstGeom prst="rect">
          <a:avLst/>
        </a:prstGeom>
      </xdr:spPr>
    </xdr:pic>
    <xdr:clientData/>
  </xdr:twoCellAnchor>
  <xdr:twoCellAnchor>
    <xdr:from>
      <xdr:col>0</xdr:col>
      <xdr:colOff>257175</xdr:colOff>
      <xdr:row>1</xdr:row>
      <xdr:rowOff>38100</xdr:rowOff>
    </xdr:from>
    <xdr:to>
      <xdr:col>8</xdr:col>
      <xdr:colOff>95250</xdr:colOff>
      <xdr:row>7</xdr:row>
      <xdr:rowOff>19050</xdr:rowOff>
    </xdr:to>
    <xdr:sp macro="" textlink="">
      <xdr:nvSpPr>
        <xdr:cNvPr id="4" name="Rounded Rectangle 3"/>
        <xdr:cNvSpPr/>
      </xdr:nvSpPr>
      <xdr:spPr>
        <a:xfrm>
          <a:off x="257175" y="228600"/>
          <a:ext cx="4714875" cy="1123950"/>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i="1">
              <a:solidFill>
                <a:schemeClr val="accent4">
                  <a:lumMod val="60000"/>
                  <a:lumOff val="40000"/>
                </a:schemeClr>
              </a:solidFill>
            </a:rPr>
            <a:t>THE PEAK&amp;LIGHT RESTAURANT</a:t>
          </a:r>
        </a:p>
        <a:p>
          <a:pPr algn="l"/>
          <a:endParaRPr lang="en-US" sz="2400" b="1" i="1">
            <a:solidFill>
              <a:schemeClr val="accent4">
                <a:lumMod val="60000"/>
                <a:lumOff val="40000"/>
              </a:schemeClr>
            </a:solidFill>
          </a:endParaRPr>
        </a:p>
        <a:p>
          <a:pPr algn="l"/>
          <a:r>
            <a:rPr lang="en-US" sz="900" b="1" i="1">
              <a:solidFill>
                <a:schemeClr val="accent4">
                  <a:lumMod val="60000"/>
                  <a:lumOff val="40000"/>
                </a:schemeClr>
              </a:solidFill>
              <a:latin typeface="Lucida Fax" panose="02060602050505020204" pitchFamily="18" charset="0"/>
            </a:rPr>
            <a:t>...Food Taste Better When you Dine with Family</a:t>
          </a:r>
          <a:r>
            <a:rPr lang="en-US" sz="900" b="1" i="1" baseline="0">
              <a:solidFill>
                <a:schemeClr val="accent4">
                  <a:lumMod val="60000"/>
                  <a:lumOff val="40000"/>
                </a:schemeClr>
              </a:solidFill>
              <a:latin typeface="Lucida Fax" panose="02060602050505020204" pitchFamily="18" charset="0"/>
            </a:rPr>
            <a:t> And Friends...</a:t>
          </a:r>
          <a:endParaRPr lang="en-US" sz="900" b="1" i="1">
            <a:solidFill>
              <a:schemeClr val="accent4">
                <a:lumMod val="60000"/>
                <a:lumOff val="40000"/>
              </a:schemeClr>
            </a:solidFill>
            <a:latin typeface="Lucida Fax" panose="02060602050505020204" pitchFamily="18" charset="0"/>
          </a:endParaRPr>
        </a:p>
        <a:p>
          <a:pPr algn="l"/>
          <a:endParaRPr lang="en-US" sz="1100"/>
        </a:p>
      </xdr:txBody>
    </xdr:sp>
    <xdr:clientData/>
  </xdr:twoCellAnchor>
  <xdr:twoCellAnchor>
    <xdr:from>
      <xdr:col>0</xdr:col>
      <xdr:colOff>400050</xdr:colOff>
      <xdr:row>13</xdr:row>
      <xdr:rowOff>161925</xdr:rowOff>
    </xdr:from>
    <xdr:to>
      <xdr:col>6</xdr:col>
      <xdr:colOff>542925</xdr:colOff>
      <xdr:row>20</xdr:row>
      <xdr:rowOff>95250</xdr:rowOff>
    </xdr:to>
    <xdr:sp macro="" textlink="">
      <xdr:nvSpPr>
        <xdr:cNvPr id="5" name="Rounded Rectangle 4"/>
        <xdr:cNvSpPr/>
      </xdr:nvSpPr>
      <xdr:spPr>
        <a:xfrm>
          <a:off x="400050" y="2638425"/>
          <a:ext cx="3800475" cy="1266825"/>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a:solidFill>
                <a:schemeClr val="accent4">
                  <a:lumMod val="60000"/>
                  <a:lumOff val="40000"/>
                </a:schemeClr>
              </a:solidFill>
            </a:rPr>
            <a:t>Five Year Financial Model</a:t>
          </a:r>
        </a:p>
        <a:p>
          <a:pPr algn="l"/>
          <a:endParaRPr lang="en-US" sz="2000">
            <a:solidFill>
              <a:schemeClr val="accent4">
                <a:lumMod val="60000"/>
                <a:lumOff val="40000"/>
              </a:schemeClr>
            </a:solidFill>
          </a:endParaRPr>
        </a:p>
        <a:p>
          <a:pPr algn="l"/>
          <a:r>
            <a:rPr lang="en-US" sz="2000">
              <a:solidFill>
                <a:schemeClr val="accent4">
                  <a:lumMod val="60000"/>
                  <a:lumOff val="40000"/>
                </a:schemeClr>
              </a:solidFill>
            </a:rPr>
            <a:t>2025</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47625</xdr:colOff>
      <xdr:row>1</xdr:row>
      <xdr:rowOff>9525</xdr:rowOff>
    </xdr:from>
    <xdr:to>
      <xdr:col>12</xdr:col>
      <xdr:colOff>1343024</xdr:colOff>
      <xdr:row>8</xdr:row>
      <xdr:rowOff>57150</xdr:rowOff>
    </xdr:to>
    <xdr:pic>
      <xdr:nvPicPr>
        <xdr:cNvPr id="4" name="Picture 3"/>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sharpenSoften amount="-3000"/>
                  </a14:imgEffect>
                </a14:imgLayer>
              </a14:imgProps>
            </a:ext>
            <a:ext uri="{28A0092B-C50C-407E-A947-70E740481C1C}">
              <a14:useLocalDpi xmlns:a14="http://schemas.microsoft.com/office/drawing/2010/main" val="0"/>
            </a:ext>
          </a:extLst>
        </a:blip>
        <a:stretch>
          <a:fillRect/>
        </a:stretch>
      </xdr:blipFill>
      <xdr:spPr>
        <a:xfrm>
          <a:off x="8829675" y="209550"/>
          <a:ext cx="1904999" cy="154305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xdr:col>
          <xdr:colOff>533400</xdr:colOff>
          <xdr:row>0</xdr:row>
          <xdr:rowOff>38100</xdr:rowOff>
        </xdr:from>
        <xdr:to>
          <xdr:col>3</xdr:col>
          <xdr:colOff>371475</xdr:colOff>
          <xdr:row>0</xdr:row>
          <xdr:rowOff>190500</xdr:rowOff>
        </xdr:to>
        <xdr:sp macro="" textlink="">
          <xdr:nvSpPr>
            <xdr:cNvPr id="2049" name="Drop Down 1" hidden="1">
              <a:extLst>
                <a:ext uri="{63B3BB69-23CF-44E3-9099-C40C66FF867C}">
                  <a14:compatExt spid="_x0000_s204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0</xdr:col>
      <xdr:colOff>495300</xdr:colOff>
      <xdr:row>1</xdr:row>
      <xdr:rowOff>38101</xdr:rowOff>
    </xdr:from>
    <xdr:to>
      <xdr:col>17</xdr:col>
      <xdr:colOff>161924</xdr:colOff>
      <xdr:row>32</xdr:row>
      <xdr:rowOff>114301</xdr:rowOff>
    </xdr:to>
    <xdr:sp macro="" textlink="">
      <xdr:nvSpPr>
        <xdr:cNvPr id="2" name="Rectangle 1"/>
        <xdr:cNvSpPr/>
      </xdr:nvSpPr>
      <xdr:spPr>
        <a:xfrm>
          <a:off x="495300" y="228601"/>
          <a:ext cx="10029824" cy="5981700"/>
        </a:xfrm>
        <a:prstGeom prst="rect">
          <a:avLst/>
        </a:prstGeom>
        <a:solidFill>
          <a:schemeClr val="accent5">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0</xdr:col>
      <xdr:colOff>495301</xdr:colOff>
      <xdr:row>1</xdr:row>
      <xdr:rowOff>47624</xdr:rowOff>
    </xdr:from>
    <xdr:to>
      <xdr:col>17</xdr:col>
      <xdr:colOff>66675</xdr:colOff>
      <xdr:row>3</xdr:row>
      <xdr:rowOff>154781</xdr:rowOff>
    </xdr:to>
    <xdr:sp macro="" textlink="">
      <xdr:nvSpPr>
        <xdr:cNvPr id="3" name="Rectangle 2"/>
        <xdr:cNvSpPr/>
      </xdr:nvSpPr>
      <xdr:spPr>
        <a:xfrm>
          <a:off x="495301" y="238124"/>
          <a:ext cx="9894093" cy="488157"/>
        </a:xfrm>
        <a:prstGeom prst="rect">
          <a:avLst/>
        </a:prstGeom>
        <a:solidFill>
          <a:schemeClr val="tx2">
            <a:lumMod val="7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000" b="1" i="1">
              <a:solidFill>
                <a:schemeClr val="accent4">
                  <a:lumMod val="60000"/>
                  <a:lumOff val="40000"/>
                </a:schemeClr>
              </a:solidFill>
            </a:rPr>
            <a:t>THE PEAK&amp;LIGHT RESTAURANT</a:t>
          </a:r>
        </a:p>
        <a:p>
          <a:pPr algn="l"/>
          <a:endParaRPr lang="en-US" sz="800" b="1" i="1">
            <a:solidFill>
              <a:schemeClr val="accent4">
                <a:lumMod val="60000"/>
                <a:lumOff val="40000"/>
              </a:schemeClr>
            </a:solidFill>
          </a:endParaRPr>
        </a:p>
        <a:p>
          <a:pPr algn="l"/>
          <a:r>
            <a:rPr lang="en-US" sz="700" b="1" i="1">
              <a:solidFill>
                <a:schemeClr val="accent4">
                  <a:lumMod val="60000"/>
                  <a:lumOff val="40000"/>
                </a:schemeClr>
              </a:solidFill>
              <a:latin typeface="Lucida Fax" panose="02060602050505020204" pitchFamily="18" charset="0"/>
            </a:rPr>
            <a:t>...Food Taste Better When you Dine with Family</a:t>
          </a:r>
          <a:r>
            <a:rPr lang="en-US" sz="700" b="1" i="1" baseline="0">
              <a:solidFill>
                <a:schemeClr val="accent4">
                  <a:lumMod val="60000"/>
                  <a:lumOff val="40000"/>
                </a:schemeClr>
              </a:solidFill>
              <a:latin typeface="Lucida Fax" panose="02060602050505020204" pitchFamily="18" charset="0"/>
            </a:rPr>
            <a:t> And Friends...</a:t>
          </a:r>
          <a:endParaRPr lang="en-US" sz="700" b="1" i="1">
            <a:solidFill>
              <a:schemeClr val="accent4">
                <a:lumMod val="60000"/>
                <a:lumOff val="40000"/>
              </a:schemeClr>
            </a:solidFill>
            <a:latin typeface="Lucida Fax" panose="02060602050505020204" pitchFamily="18" charset="0"/>
          </a:endParaRPr>
        </a:p>
        <a:p>
          <a:pPr algn="l"/>
          <a:endParaRPr lang="en-US" sz="1100"/>
        </a:p>
      </xdr:txBody>
    </xdr:sp>
    <xdr:clientData/>
  </xdr:twoCellAnchor>
  <xdr:twoCellAnchor>
    <xdr:from>
      <xdr:col>14</xdr:col>
      <xdr:colOff>342901</xdr:colOff>
      <xdr:row>1</xdr:row>
      <xdr:rowOff>95250</xdr:rowOff>
    </xdr:from>
    <xdr:to>
      <xdr:col>17</xdr:col>
      <xdr:colOff>57151</xdr:colOff>
      <xdr:row>2</xdr:row>
      <xdr:rowOff>161925</xdr:rowOff>
    </xdr:to>
    <xdr:sp macro="" textlink="">
      <xdr:nvSpPr>
        <xdr:cNvPr id="4" name="Rectangle 3"/>
        <xdr:cNvSpPr/>
      </xdr:nvSpPr>
      <xdr:spPr>
        <a:xfrm>
          <a:off x="8877301" y="285750"/>
          <a:ext cx="1543050" cy="257175"/>
        </a:xfrm>
        <a:prstGeom prst="rect">
          <a:avLst/>
        </a:prstGeom>
        <a:solidFill>
          <a:schemeClr val="tx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US" sz="1000" b="1" i="1">
              <a:solidFill>
                <a:schemeClr val="accent4">
                  <a:lumMod val="60000"/>
                  <a:lumOff val="40000"/>
                </a:schemeClr>
              </a:solidFill>
              <a:latin typeface="+mn-lt"/>
              <a:ea typeface="+mn-ea"/>
              <a:cs typeface="+mn-cs"/>
            </a:rPr>
            <a:t>Five Year Financial Model</a:t>
          </a:r>
        </a:p>
      </xdr:txBody>
    </xdr:sp>
    <xdr:clientData/>
  </xdr:twoCellAnchor>
  <mc:AlternateContent xmlns:mc="http://schemas.openxmlformats.org/markup-compatibility/2006">
    <mc:Choice xmlns:a14="http://schemas.microsoft.com/office/drawing/2010/main" Requires="a14">
      <xdr:twoCellAnchor editAs="oneCell">
        <xdr:from>
          <xdr:col>8</xdr:col>
          <xdr:colOff>38100</xdr:colOff>
          <xdr:row>1</xdr:row>
          <xdr:rowOff>142875</xdr:rowOff>
        </xdr:from>
        <xdr:to>
          <xdr:col>9</xdr:col>
          <xdr:colOff>323850</xdr:colOff>
          <xdr:row>2</xdr:row>
          <xdr:rowOff>133350</xdr:rowOff>
        </xdr:to>
        <xdr:sp macro="" textlink="">
          <xdr:nvSpPr>
            <xdr:cNvPr id="14337" name="Drop Down 1" hidden="1">
              <a:extLst>
                <a:ext uri="{63B3BB69-23CF-44E3-9099-C40C66FF867C}">
                  <a14:compatExt spid="_x0000_s1433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3</xdr:col>
      <xdr:colOff>323850</xdr:colOff>
      <xdr:row>3</xdr:row>
      <xdr:rowOff>161925</xdr:rowOff>
    </xdr:from>
    <xdr:to>
      <xdr:col>9</xdr:col>
      <xdr:colOff>314325</xdr:colOff>
      <xdr:row>18</xdr:row>
      <xdr:rowOff>0</xdr:rowOff>
    </xdr:to>
    <xdr:sp macro="" textlink="">
      <xdr:nvSpPr>
        <xdr:cNvPr id="5" name="Rectangle 4"/>
        <xdr:cNvSpPr/>
      </xdr:nvSpPr>
      <xdr:spPr>
        <a:xfrm>
          <a:off x="2152650" y="733425"/>
          <a:ext cx="3648075" cy="2695575"/>
        </a:xfrm>
        <a:prstGeom prst="rect">
          <a:avLst/>
        </a:prstGeom>
        <a:solidFill>
          <a:schemeClr val="tx2">
            <a:lumMod val="50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342900</xdr:colOff>
      <xdr:row>4</xdr:row>
      <xdr:rowOff>123824</xdr:rowOff>
    </xdr:from>
    <xdr:to>
      <xdr:col>9</xdr:col>
      <xdr:colOff>323849</xdr:colOff>
      <xdr:row>17</xdr:row>
      <xdr:rowOff>180973</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381000</xdr:colOff>
      <xdr:row>3</xdr:row>
      <xdr:rowOff>161924</xdr:rowOff>
    </xdr:from>
    <xdr:to>
      <xdr:col>17</xdr:col>
      <xdr:colOff>95249</xdr:colOff>
      <xdr:row>17</xdr:row>
      <xdr:rowOff>171449</xdr:rowOff>
    </xdr:to>
    <xdr:sp macro="" textlink="">
      <xdr:nvSpPr>
        <xdr:cNvPr id="8" name="Rectangle 7"/>
        <xdr:cNvSpPr/>
      </xdr:nvSpPr>
      <xdr:spPr>
        <a:xfrm>
          <a:off x="5867400" y="733424"/>
          <a:ext cx="4591049" cy="2676525"/>
        </a:xfrm>
        <a:prstGeom prst="rect">
          <a:avLst/>
        </a:prstGeom>
        <a:solidFill>
          <a:schemeClr val="tx2">
            <a:lumMod val="50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9</xdr:col>
      <xdr:colOff>371476</xdr:colOff>
      <xdr:row>18</xdr:row>
      <xdr:rowOff>19050</xdr:rowOff>
    </xdr:from>
    <xdr:to>
      <xdr:col>15</xdr:col>
      <xdr:colOff>180976</xdr:colOff>
      <xdr:row>32</xdr:row>
      <xdr:rowOff>66675</xdr:rowOff>
    </xdr:to>
    <xdr:sp macro="" textlink="">
      <xdr:nvSpPr>
        <xdr:cNvPr id="9" name="Rectangle 8"/>
        <xdr:cNvSpPr/>
      </xdr:nvSpPr>
      <xdr:spPr>
        <a:xfrm>
          <a:off x="5857876" y="3448050"/>
          <a:ext cx="3467100" cy="2714625"/>
        </a:xfrm>
        <a:prstGeom prst="rect">
          <a:avLst/>
        </a:prstGeom>
        <a:solidFill>
          <a:schemeClr val="tx2">
            <a:lumMod val="50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3</xdr:col>
      <xdr:colOff>323850</xdr:colOff>
      <xdr:row>18</xdr:row>
      <xdr:rowOff>38099</xdr:rowOff>
    </xdr:from>
    <xdr:to>
      <xdr:col>9</xdr:col>
      <xdr:colOff>314325</xdr:colOff>
      <xdr:row>32</xdr:row>
      <xdr:rowOff>76200</xdr:rowOff>
    </xdr:to>
    <xdr:sp macro="" textlink="">
      <xdr:nvSpPr>
        <xdr:cNvPr id="10" name="Rectangle 9"/>
        <xdr:cNvSpPr/>
      </xdr:nvSpPr>
      <xdr:spPr>
        <a:xfrm>
          <a:off x="2152650" y="3467099"/>
          <a:ext cx="3648075" cy="2705101"/>
        </a:xfrm>
        <a:prstGeom prst="rect">
          <a:avLst/>
        </a:prstGeom>
        <a:solidFill>
          <a:schemeClr val="tx2">
            <a:lumMod val="50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9</xdr:col>
      <xdr:colOff>371476</xdr:colOff>
      <xdr:row>4</xdr:row>
      <xdr:rowOff>9524</xdr:rowOff>
    </xdr:from>
    <xdr:to>
      <xdr:col>17</xdr:col>
      <xdr:colOff>76200</xdr:colOff>
      <xdr:row>17</xdr:row>
      <xdr:rowOff>123825</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295275</xdr:colOff>
      <xdr:row>18</xdr:row>
      <xdr:rowOff>35720</xdr:rowOff>
    </xdr:from>
    <xdr:to>
      <xdr:col>9</xdr:col>
      <xdr:colOff>297656</xdr:colOff>
      <xdr:row>32</xdr:row>
      <xdr:rowOff>57150</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400050</xdr:colOff>
      <xdr:row>18</xdr:row>
      <xdr:rowOff>35720</xdr:rowOff>
    </xdr:from>
    <xdr:to>
      <xdr:col>15</xdr:col>
      <xdr:colOff>178594</xdr:colOff>
      <xdr:row>32</xdr:row>
      <xdr:rowOff>9524</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495300</xdr:colOff>
      <xdr:row>3</xdr:row>
      <xdr:rowOff>171450</xdr:rowOff>
    </xdr:from>
    <xdr:to>
      <xdr:col>3</xdr:col>
      <xdr:colOff>257175</xdr:colOff>
      <xdr:row>27</xdr:row>
      <xdr:rowOff>66675</xdr:rowOff>
    </xdr:to>
    <xdr:sp macro="" textlink="">
      <xdr:nvSpPr>
        <xdr:cNvPr id="25" name="Rectangle 24"/>
        <xdr:cNvSpPr/>
      </xdr:nvSpPr>
      <xdr:spPr>
        <a:xfrm>
          <a:off x="495300" y="742950"/>
          <a:ext cx="1590675" cy="4467225"/>
        </a:xfrm>
        <a:prstGeom prst="rect">
          <a:avLst/>
        </a:prstGeom>
        <a:solidFill>
          <a:schemeClr val="accent5">
            <a:lumMod val="50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542925</xdr:colOff>
      <xdr:row>3</xdr:row>
      <xdr:rowOff>171450</xdr:rowOff>
    </xdr:from>
    <xdr:to>
      <xdr:col>3</xdr:col>
      <xdr:colOff>238125</xdr:colOff>
      <xdr:row>10</xdr:row>
      <xdr:rowOff>142875</xdr:rowOff>
    </xdr:to>
    <xdr:sp macro="" textlink="Pivot!G38">
      <xdr:nvSpPr>
        <xdr:cNvPr id="26" name="Rectangle 25"/>
        <xdr:cNvSpPr/>
      </xdr:nvSpPr>
      <xdr:spPr>
        <a:xfrm>
          <a:off x="542925" y="742950"/>
          <a:ext cx="1524000" cy="1304925"/>
        </a:xfrm>
        <a:prstGeom prst="rect">
          <a:avLst/>
        </a:prstGeom>
        <a:solidFill>
          <a:schemeClr val="tx2">
            <a:lumMod val="7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fld id="{9180989D-D38B-427F-BF14-D5C03CE7F616}" type="TxLink">
            <a:rPr lang="en-US" sz="1800" b="1" i="1" u="none" strike="noStrike">
              <a:solidFill>
                <a:schemeClr val="bg1">
                  <a:lumMod val="95000"/>
                </a:schemeClr>
              </a:solidFill>
              <a:latin typeface="Calibri"/>
              <a:cs typeface="Calibri"/>
            </a:rPr>
            <a:pPr algn="l"/>
            <a:t>₦ 74,880,998</a:t>
          </a:fld>
          <a:endParaRPr lang="en-US" sz="1800" b="1" i="1">
            <a:solidFill>
              <a:schemeClr val="bg1">
                <a:lumMod val="95000"/>
              </a:schemeClr>
            </a:solidFill>
          </a:endParaRPr>
        </a:p>
      </xdr:txBody>
    </xdr:sp>
    <xdr:clientData/>
  </xdr:twoCellAnchor>
  <xdr:twoCellAnchor>
    <xdr:from>
      <xdr:col>0</xdr:col>
      <xdr:colOff>514349</xdr:colOff>
      <xdr:row>17</xdr:row>
      <xdr:rowOff>180976</xdr:rowOff>
    </xdr:from>
    <xdr:to>
      <xdr:col>3</xdr:col>
      <xdr:colOff>238124</xdr:colOff>
      <xdr:row>27</xdr:row>
      <xdr:rowOff>28576</xdr:rowOff>
    </xdr:to>
    <xdr:sp macro="" textlink="Pivot!I38">
      <xdr:nvSpPr>
        <xdr:cNvPr id="28" name="Rectangle 27"/>
        <xdr:cNvSpPr/>
      </xdr:nvSpPr>
      <xdr:spPr>
        <a:xfrm>
          <a:off x="514349" y="3419476"/>
          <a:ext cx="1552575" cy="1752600"/>
        </a:xfrm>
        <a:prstGeom prst="rect">
          <a:avLst/>
        </a:prstGeom>
        <a:solidFill>
          <a:schemeClr val="tx2">
            <a:lumMod val="7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66281664-78B2-4536-9ACC-495ED08BCF09}" type="TxLink">
            <a:rPr lang="en-US" sz="1800" b="1" i="1" u="none" strike="noStrike">
              <a:solidFill>
                <a:schemeClr val="bg1">
                  <a:lumMod val="95000"/>
                </a:schemeClr>
              </a:solidFill>
              <a:latin typeface="Calibri"/>
              <a:ea typeface="+mn-ea"/>
              <a:cs typeface="Calibri"/>
            </a:rPr>
            <a:pPr marL="0" indent="0" algn="ctr"/>
            <a:t>₦ 36,155,088</a:t>
          </a:fld>
          <a:endParaRPr lang="en-US" sz="1800" b="1" i="1">
            <a:solidFill>
              <a:schemeClr val="bg1">
                <a:lumMod val="95000"/>
              </a:schemeClr>
            </a:solidFill>
            <a:latin typeface="+mn-lt"/>
            <a:ea typeface="+mn-ea"/>
            <a:cs typeface="+mn-cs"/>
          </a:endParaRPr>
        </a:p>
      </xdr:txBody>
    </xdr:sp>
    <xdr:clientData/>
  </xdr:twoCellAnchor>
  <xdr:twoCellAnchor>
    <xdr:from>
      <xdr:col>0</xdr:col>
      <xdr:colOff>523875</xdr:colOff>
      <xdr:row>11</xdr:row>
      <xdr:rowOff>28575</xdr:rowOff>
    </xdr:from>
    <xdr:to>
      <xdr:col>3</xdr:col>
      <xdr:colOff>219074</xdr:colOff>
      <xdr:row>17</xdr:row>
      <xdr:rowOff>133350</xdr:rowOff>
    </xdr:to>
    <xdr:sp macro="" textlink="Pivot!H38">
      <xdr:nvSpPr>
        <xdr:cNvPr id="29" name="Rectangle 28"/>
        <xdr:cNvSpPr/>
      </xdr:nvSpPr>
      <xdr:spPr>
        <a:xfrm>
          <a:off x="523875" y="2124075"/>
          <a:ext cx="1523999" cy="1247775"/>
        </a:xfrm>
        <a:prstGeom prst="rect">
          <a:avLst/>
        </a:prstGeom>
        <a:solidFill>
          <a:schemeClr val="tx2">
            <a:lumMod val="75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ACB13A5-C8DE-4A82-8506-47CD1E63BECB}" type="TxLink">
            <a:rPr lang="en-US" sz="1800" b="1" i="1" u="none" strike="noStrike">
              <a:solidFill>
                <a:schemeClr val="bg1">
                  <a:lumMod val="95000"/>
                </a:schemeClr>
              </a:solidFill>
              <a:latin typeface="Calibri"/>
              <a:ea typeface="+mn-ea"/>
              <a:cs typeface="Calibri"/>
            </a:rPr>
            <a:pPr marL="0" indent="0" algn="ctr"/>
            <a:t>₦ 52,416,698</a:t>
          </a:fld>
          <a:endParaRPr lang="en-US" sz="1800" b="1" i="1">
            <a:solidFill>
              <a:schemeClr val="bg1">
                <a:lumMod val="95000"/>
              </a:schemeClr>
            </a:solidFill>
            <a:latin typeface="+mn-lt"/>
            <a:ea typeface="+mn-ea"/>
            <a:cs typeface="+mn-cs"/>
          </a:endParaRPr>
        </a:p>
      </xdr:txBody>
    </xdr:sp>
    <xdr:clientData/>
  </xdr:twoCellAnchor>
  <xdr:twoCellAnchor>
    <xdr:from>
      <xdr:col>0</xdr:col>
      <xdr:colOff>533400</xdr:colOff>
      <xdr:row>3</xdr:row>
      <xdr:rowOff>180975</xdr:rowOff>
    </xdr:from>
    <xdr:to>
      <xdr:col>3</xdr:col>
      <xdr:colOff>238125</xdr:colOff>
      <xdr:row>5</xdr:row>
      <xdr:rowOff>114300</xdr:rowOff>
    </xdr:to>
    <xdr:sp macro="" textlink="">
      <xdr:nvSpPr>
        <xdr:cNvPr id="27" name="Rectangle 26"/>
        <xdr:cNvSpPr/>
      </xdr:nvSpPr>
      <xdr:spPr>
        <a:xfrm>
          <a:off x="533400" y="752475"/>
          <a:ext cx="1533525" cy="314325"/>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chemeClr val="accent4"/>
              </a:solidFill>
            </a:rPr>
            <a:t>Average </a:t>
          </a:r>
          <a:r>
            <a:rPr lang="en-US" sz="1100" b="1" i="1">
              <a:solidFill>
                <a:schemeClr val="accent4"/>
              </a:solidFill>
            </a:rPr>
            <a:t>Revenue</a:t>
          </a:r>
        </a:p>
      </xdr:txBody>
    </xdr:sp>
    <xdr:clientData/>
  </xdr:twoCellAnchor>
  <xdr:twoCellAnchor>
    <xdr:from>
      <xdr:col>0</xdr:col>
      <xdr:colOff>495299</xdr:colOff>
      <xdr:row>18</xdr:row>
      <xdr:rowOff>19050</xdr:rowOff>
    </xdr:from>
    <xdr:to>
      <xdr:col>3</xdr:col>
      <xdr:colOff>219074</xdr:colOff>
      <xdr:row>19</xdr:row>
      <xdr:rowOff>142875</xdr:rowOff>
    </xdr:to>
    <xdr:sp macro="" textlink="">
      <xdr:nvSpPr>
        <xdr:cNvPr id="31" name="Rectangle 30"/>
        <xdr:cNvSpPr/>
      </xdr:nvSpPr>
      <xdr:spPr>
        <a:xfrm>
          <a:off x="495299" y="3448050"/>
          <a:ext cx="1552575" cy="314325"/>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b="1" i="1">
              <a:solidFill>
                <a:schemeClr val="accent4"/>
              </a:solidFill>
              <a:latin typeface="+mn-lt"/>
              <a:ea typeface="+mn-ea"/>
              <a:cs typeface="+mn-cs"/>
            </a:rPr>
            <a:t>AVerage Net Profit</a:t>
          </a:r>
        </a:p>
      </xdr:txBody>
    </xdr:sp>
    <xdr:clientData/>
  </xdr:twoCellAnchor>
  <xdr:twoCellAnchor>
    <xdr:from>
      <xdr:col>0</xdr:col>
      <xdr:colOff>533400</xdr:colOff>
      <xdr:row>11</xdr:row>
      <xdr:rowOff>66675</xdr:rowOff>
    </xdr:from>
    <xdr:to>
      <xdr:col>3</xdr:col>
      <xdr:colOff>209550</xdr:colOff>
      <xdr:row>13</xdr:row>
      <xdr:rowOff>0</xdr:rowOff>
    </xdr:to>
    <xdr:sp macro="" textlink="">
      <xdr:nvSpPr>
        <xdr:cNvPr id="32" name="Rectangle 31"/>
        <xdr:cNvSpPr/>
      </xdr:nvSpPr>
      <xdr:spPr>
        <a:xfrm>
          <a:off x="533400" y="2162175"/>
          <a:ext cx="1504950" cy="314325"/>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100" b="1" i="1">
              <a:solidFill>
                <a:schemeClr val="accent4"/>
              </a:solidFill>
              <a:latin typeface="+mn-lt"/>
              <a:ea typeface="+mn-ea"/>
              <a:cs typeface="+mn-cs"/>
            </a:rPr>
            <a:t>Average Gross Profit</a:t>
          </a:r>
        </a:p>
      </xdr:txBody>
    </xdr:sp>
    <xdr:clientData/>
  </xdr:twoCellAnchor>
  <xdr:twoCellAnchor>
    <xdr:from>
      <xdr:col>15</xdr:col>
      <xdr:colOff>238125</xdr:colOff>
      <xdr:row>18</xdr:row>
      <xdr:rowOff>19050</xdr:rowOff>
    </xdr:from>
    <xdr:to>
      <xdr:col>17</xdr:col>
      <xdr:colOff>38100</xdr:colOff>
      <xdr:row>32</xdr:row>
      <xdr:rowOff>104775</xdr:rowOff>
    </xdr:to>
    <xdr:sp macro="" textlink="">
      <xdr:nvSpPr>
        <xdr:cNvPr id="30" name="Rectangle 29"/>
        <xdr:cNvSpPr/>
      </xdr:nvSpPr>
      <xdr:spPr>
        <a:xfrm>
          <a:off x="9382125" y="3448050"/>
          <a:ext cx="1019175" cy="2752725"/>
        </a:xfrm>
        <a:prstGeom prst="rect">
          <a:avLst/>
        </a:prstGeom>
        <a:solidFill>
          <a:schemeClr val="accent5">
            <a:lumMod val="50000"/>
          </a:schemeClr>
        </a:solidFill>
        <a:ln>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editAs="oneCell">
    <xdr:from>
      <xdr:col>15</xdr:col>
      <xdr:colOff>276226</xdr:colOff>
      <xdr:row>18</xdr:row>
      <xdr:rowOff>19050</xdr:rowOff>
    </xdr:from>
    <xdr:to>
      <xdr:col>17</xdr:col>
      <xdr:colOff>38100</xdr:colOff>
      <xdr:row>32</xdr:row>
      <xdr:rowOff>57149</xdr:rowOff>
    </xdr:to>
    <mc:AlternateContent xmlns:mc="http://schemas.openxmlformats.org/markup-compatibility/2006" xmlns:a14="http://schemas.microsoft.com/office/drawing/2010/main">
      <mc:Choice Requires="a14">
        <xdr:graphicFrame macro="">
          <xdr:nvGraphicFramePr>
            <xdr:cNvPr id="35"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9384507" y="3448050"/>
              <a:ext cx="976312" cy="2705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542925</xdr:colOff>
          <xdr:row>0</xdr:row>
          <xdr:rowOff>19050</xdr:rowOff>
        </xdr:from>
        <xdr:to>
          <xdr:col>3</xdr:col>
          <xdr:colOff>19050</xdr:colOff>
          <xdr:row>0</xdr:row>
          <xdr:rowOff>171450</xdr:rowOff>
        </xdr:to>
        <xdr:sp macro="" textlink="">
          <xdr:nvSpPr>
            <xdr:cNvPr id="15361" name="Drop Down 1" hidden="1">
              <a:extLst>
                <a:ext uri="{63B3BB69-23CF-44E3-9099-C40C66FF867C}">
                  <a14:compatExt spid="_x0000_s1536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523875</xdr:colOff>
          <xdr:row>0</xdr:row>
          <xdr:rowOff>47625</xdr:rowOff>
        </xdr:from>
        <xdr:to>
          <xdr:col>3</xdr:col>
          <xdr:colOff>0</xdr:colOff>
          <xdr:row>1</xdr:row>
          <xdr:rowOff>9525</xdr:rowOff>
        </xdr:to>
        <xdr:sp macro="" textlink="">
          <xdr:nvSpPr>
            <xdr:cNvPr id="3073" name="Drop Down 1" hidden="1">
              <a:extLst>
                <a:ext uri="{63B3BB69-23CF-44E3-9099-C40C66FF867C}">
                  <a14:compatExt spid="_x0000_s307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552450</xdr:colOff>
          <xdr:row>0</xdr:row>
          <xdr:rowOff>38100</xdr:rowOff>
        </xdr:from>
        <xdr:to>
          <xdr:col>3</xdr:col>
          <xdr:colOff>28575</xdr:colOff>
          <xdr:row>1</xdr:row>
          <xdr:rowOff>0</xdr:rowOff>
        </xdr:to>
        <xdr:sp macro="" textlink="">
          <xdr:nvSpPr>
            <xdr:cNvPr id="7169" name="Drop Down 1" hidden="1">
              <a:extLst>
                <a:ext uri="{63B3BB69-23CF-44E3-9099-C40C66FF867C}">
                  <a14:compatExt spid="_x0000_s716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581025</xdr:colOff>
          <xdr:row>0</xdr:row>
          <xdr:rowOff>19050</xdr:rowOff>
        </xdr:from>
        <xdr:to>
          <xdr:col>3</xdr:col>
          <xdr:colOff>476250</xdr:colOff>
          <xdr:row>0</xdr:row>
          <xdr:rowOff>171450</xdr:rowOff>
        </xdr:to>
        <xdr:sp macro="" textlink="">
          <xdr:nvSpPr>
            <xdr:cNvPr id="8193" name="Drop Down 1" hidden="1">
              <a:extLst>
                <a:ext uri="{63B3BB69-23CF-44E3-9099-C40C66FF867C}">
                  <a14:compatExt spid="_x0000_s8193"/>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533400</xdr:colOff>
          <xdr:row>0</xdr:row>
          <xdr:rowOff>38100</xdr:rowOff>
        </xdr:from>
        <xdr:to>
          <xdr:col>3</xdr:col>
          <xdr:colOff>352425</xdr:colOff>
          <xdr:row>1</xdr:row>
          <xdr:rowOff>0</xdr:rowOff>
        </xdr:to>
        <xdr:sp macro="" textlink="">
          <xdr:nvSpPr>
            <xdr:cNvPr id="9217" name="Drop Down 1" hidden="1">
              <a:extLst>
                <a:ext uri="{63B3BB69-23CF-44E3-9099-C40C66FF867C}">
                  <a14:compatExt spid="_x0000_s921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533400</xdr:colOff>
          <xdr:row>0</xdr:row>
          <xdr:rowOff>38100</xdr:rowOff>
        </xdr:from>
        <xdr:to>
          <xdr:col>3</xdr:col>
          <xdr:colOff>9525</xdr:colOff>
          <xdr:row>1</xdr:row>
          <xdr:rowOff>0</xdr:rowOff>
        </xdr:to>
        <xdr:sp macro="" textlink="">
          <xdr:nvSpPr>
            <xdr:cNvPr id="10241" name="Drop Down 1" hidden="1">
              <a:extLst>
                <a:ext uri="{63B3BB69-23CF-44E3-9099-C40C66FF867C}">
                  <a14:compatExt spid="_x0000_s10241"/>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523875</xdr:colOff>
          <xdr:row>0</xdr:row>
          <xdr:rowOff>47625</xdr:rowOff>
        </xdr:from>
        <xdr:to>
          <xdr:col>3</xdr:col>
          <xdr:colOff>95250</xdr:colOff>
          <xdr:row>1</xdr:row>
          <xdr:rowOff>9525</xdr:rowOff>
        </xdr:to>
        <xdr:sp macro="" textlink="">
          <xdr:nvSpPr>
            <xdr:cNvPr id="11265" name="Drop Down 1" hidden="1">
              <a:extLst>
                <a:ext uri="{63B3BB69-23CF-44E3-9099-C40C66FF867C}">
                  <a14:compatExt spid="_x0000_s1126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571500</xdr:colOff>
          <xdr:row>0</xdr:row>
          <xdr:rowOff>38100</xdr:rowOff>
        </xdr:from>
        <xdr:to>
          <xdr:col>3</xdr:col>
          <xdr:colOff>47625</xdr:colOff>
          <xdr:row>1</xdr:row>
          <xdr:rowOff>0</xdr:rowOff>
        </xdr:to>
        <xdr:sp macro="" textlink="">
          <xdr:nvSpPr>
            <xdr:cNvPr id="12289" name="Drop Down 1" hidden="1">
              <a:extLst>
                <a:ext uri="{63B3BB69-23CF-44E3-9099-C40C66FF867C}">
                  <a14:compatExt spid="_x0000_s1228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5765.503067361111" createdVersion="6" refreshedVersion="6" minRefreshableVersion="3" recordCount="20">
  <cacheSource type="worksheet">
    <worksheetSource name="Table1"/>
  </cacheSource>
  <cacheFields count="11">
    <cacheField name="Year" numFmtId="0">
      <sharedItems containsSemiMixedTypes="0" containsString="0" containsNumber="1" containsInteger="1" minValue="2025" maxValue="2029" count="5">
        <n v="2025"/>
        <n v="2026"/>
        <n v="2027"/>
        <n v="2028"/>
        <n v="2029"/>
      </sharedItems>
    </cacheField>
    <cacheField name="Revenue" numFmtId="0">
      <sharedItems containsString="0" containsBlank="1" containsNumber="1" minValue="56448000" maxValue="95723122.011955231"/>
    </cacheField>
    <cacheField name="Cost Of Sales" numFmtId="0">
      <sharedItems containsString="0" containsBlank="1" containsNumber="1" minValue="16934400" maxValue="28716936.603586566"/>
    </cacheField>
    <cacheField name=" Gross Profit" numFmtId="0">
      <sharedItems containsString="0" containsBlank="1" containsNumber="1" minValue="39513600" maxValue="67006185.408368662"/>
    </cacheField>
    <cacheField name="OPEX Items" numFmtId="0">
      <sharedItems containsBlank="1" count="4">
        <m/>
        <s v="Employee Cost"/>
        <s v="Dep. &amp; Amort"/>
        <s v="Other Expenses"/>
      </sharedItems>
    </cacheField>
    <cacheField name="OPEX" numFmtId="0">
      <sharedItems containsString="0" containsBlank="1" containsNumber="1" minValue="2104800" maxValue="9177231.2201195527"/>
    </cacheField>
    <cacheField name="Operating Profit" numFmtId="0">
      <sharedItems containsString="0" containsBlank="1" containsNumber="1" minValue="27209120" maxValue="52308954.188249111"/>
    </cacheField>
    <cacheField name="Net Profit" numFmtId="0">
      <sharedItems containsString="0" containsBlank="1" containsNumber="1" minValue="25104320" maxValue="50034154.188249111"/>
    </cacheField>
    <cacheField name="GP Margin" numFmtId="0">
      <sharedItems containsString="0" containsBlank="1" containsNumber="1" minValue="0.7" maxValue="0.70000000000000007"/>
    </cacheField>
    <cacheField name="NP Margin" numFmtId="0">
      <sharedItems containsString="0" containsBlank="1" containsNumber="1" minValue="0.44473356009070297" maxValue="0.52269663939711608"/>
    </cacheField>
    <cacheField name="ROCE" numFmtId="0">
      <sharedItems containsString="0" containsBlank="1" containsNumber="1" minValue="0.3267658780593341" maxValue="0.69032519445855012"/>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
  <r>
    <x v="0"/>
    <n v="56448000"/>
    <n v="16934400"/>
    <n v="39513600"/>
    <x v="0"/>
    <m/>
    <n v="27209120"/>
    <n v="25104320"/>
    <n v="0.7"/>
    <n v="0.44473356009070297"/>
    <n v="0.69032519445855012"/>
  </r>
  <r>
    <x v="1"/>
    <n v="64610380.799999997"/>
    <n v="19383114.239999998"/>
    <n v="45227266.560000002"/>
    <x v="0"/>
    <m/>
    <n v="30841162.752000004"/>
    <n v="28736362.752000004"/>
    <n v="0.70000000000000007"/>
    <n v="0.44476386605664464"/>
    <n v="0.49615423259165897"/>
  </r>
  <r>
    <x v="2"/>
    <n v="73655834.112000018"/>
    <n v="22096750.233600002"/>
    <n v="51559083.878400013"/>
    <x v="0"/>
    <m/>
    <n v="37082525.537280008"/>
    <n v="34977725.537280008"/>
    <n v="0.7"/>
    <n v="0.47488058426021451"/>
    <n v="0.41565183893574575"/>
  </r>
  <r>
    <x v="3"/>
    <n v="83967650.887680024"/>
    <n v="25190295.266304005"/>
    <n v="58777355.621376023"/>
    <x v="0"/>
    <m/>
    <n v="44197679.112499222"/>
    <n v="41922879.112499222"/>
    <n v="0.70000000000000007"/>
    <n v="0.49927416891271242"/>
    <n v="0.36267455773095042"/>
  </r>
  <r>
    <x v="4"/>
    <n v="95723122.011955231"/>
    <n v="28716936.603586566"/>
    <n v="67006185.408368662"/>
    <x v="0"/>
    <m/>
    <n v="52308954.188249111"/>
    <n v="50034154.188249111"/>
    <n v="0.7"/>
    <n v="0.52269663939711608"/>
    <n v="0.3267658780593341"/>
  </r>
  <r>
    <x v="0"/>
    <m/>
    <m/>
    <m/>
    <x v="1"/>
    <n v="5520000"/>
    <m/>
    <m/>
    <m/>
    <m/>
    <m/>
  </r>
  <r>
    <x v="0"/>
    <m/>
    <m/>
    <m/>
    <x v="2"/>
    <n v="2104800"/>
    <m/>
    <m/>
    <m/>
    <m/>
    <m/>
  </r>
  <r>
    <x v="0"/>
    <m/>
    <m/>
    <m/>
    <x v="3"/>
    <n v="8809480"/>
    <m/>
    <m/>
    <m/>
    <m/>
    <m/>
  </r>
  <r>
    <x v="1"/>
    <m/>
    <m/>
    <m/>
    <x v="1"/>
    <n v="5520000"/>
    <m/>
    <m/>
    <m/>
    <m/>
    <m/>
  </r>
  <r>
    <x v="1"/>
    <m/>
    <m/>
    <m/>
    <x v="2"/>
    <n v="2104800"/>
    <m/>
    <m/>
    <m/>
    <m/>
    <m/>
  </r>
  <r>
    <x v="1"/>
    <m/>
    <m/>
    <m/>
    <x v="3"/>
    <n v="7066103.8080000002"/>
    <m/>
    <m/>
    <m/>
    <m/>
    <m/>
  </r>
  <r>
    <x v="2"/>
    <m/>
    <m/>
    <m/>
    <x v="1"/>
    <n v="5520000"/>
    <m/>
    <m/>
    <m/>
    <m/>
    <m/>
  </r>
  <r>
    <x v="2"/>
    <m/>
    <m/>
    <m/>
    <x v="2"/>
    <n v="2104800"/>
    <m/>
    <m/>
    <m/>
    <m/>
    <m/>
  </r>
  <r>
    <x v="2"/>
    <m/>
    <m/>
    <m/>
    <x v="3"/>
    <n v="8956558.3411200009"/>
    <m/>
    <m/>
    <m/>
    <m/>
    <m/>
  </r>
  <r>
    <x v="3"/>
    <m/>
    <m/>
    <m/>
    <x v="1"/>
    <n v="5520000"/>
    <m/>
    <m/>
    <m/>
    <m/>
    <m/>
  </r>
  <r>
    <x v="3"/>
    <m/>
    <m/>
    <m/>
    <x v="2"/>
    <n v="2274800"/>
    <m/>
    <m/>
    <m/>
    <m/>
    <m/>
  </r>
  <r>
    <x v="3"/>
    <m/>
    <m/>
    <m/>
    <x v="3"/>
    <n v="9059676.5088768005"/>
    <m/>
    <m/>
    <m/>
    <m/>
    <m/>
  </r>
  <r>
    <x v="4"/>
    <m/>
    <m/>
    <m/>
    <x v="1"/>
    <n v="5520000"/>
    <m/>
    <m/>
    <m/>
    <m/>
    <m/>
  </r>
  <r>
    <x v="4"/>
    <m/>
    <m/>
    <m/>
    <x v="2"/>
    <n v="2274800"/>
    <m/>
    <m/>
    <m/>
    <m/>
    <m/>
  </r>
  <r>
    <x v="4"/>
    <m/>
    <m/>
    <m/>
    <x v="3"/>
    <n v="9177231.2201195527"/>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8" cacheId="42"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chartFormat="4">
  <location ref="B12:C16" firstHeaderRow="1" firstDataRow="1" firstDataCol="1"/>
  <pivotFields count="11">
    <pivotField showAll="0">
      <items count="6">
        <item x="0"/>
        <item x="1"/>
        <item x="2"/>
        <item x="3"/>
        <item x="4"/>
        <item t="default"/>
      </items>
    </pivotField>
    <pivotField showAll="0"/>
    <pivotField showAll="0"/>
    <pivotField showAll="0"/>
    <pivotField axis="axisRow" showAll="0">
      <items count="5">
        <item x="2"/>
        <item x="1"/>
        <item x="3"/>
        <item h="1" x="0"/>
        <item t="default"/>
      </items>
    </pivotField>
    <pivotField dataField="1"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OPEX" fld="5" baseField="0" baseItem="1"/>
  </dataFields>
  <formats count="3">
    <format dxfId="66">
      <pivotArea outline="0" collapsedLevelsAreSubtotals="1" fieldPosition="0"/>
    </format>
    <format dxfId="65">
      <pivotArea outline="0" collapsedLevelsAreSubtotals="1" fieldPosition="0"/>
    </format>
    <format dxfId="64">
      <pivotArea outline="0" collapsedLevelsAreSubtotals="1" fieldPosition="0"/>
    </format>
  </formats>
  <chartFormats count="8">
    <chartFormat chart="1" format="9" series="1">
      <pivotArea type="data" outline="0" fieldPosition="0">
        <references count="1">
          <reference field="4294967294" count="1" selected="0">
            <x v="0"/>
          </reference>
        </references>
      </pivotArea>
    </chartFormat>
    <chartFormat chart="1" format="10">
      <pivotArea type="data" outline="0" fieldPosition="0">
        <references count="2">
          <reference field="4294967294" count="1" selected="0">
            <x v="0"/>
          </reference>
          <reference field="4" count="1" selected="0">
            <x v="0"/>
          </reference>
        </references>
      </pivotArea>
    </chartFormat>
    <chartFormat chart="1" format="11">
      <pivotArea type="data" outline="0" fieldPosition="0">
        <references count="2">
          <reference field="4294967294" count="1" selected="0">
            <x v="0"/>
          </reference>
          <reference field="4" count="1" selected="0">
            <x v="1"/>
          </reference>
        </references>
      </pivotArea>
    </chartFormat>
    <chartFormat chart="1" format="12">
      <pivotArea type="data" outline="0" fieldPosition="0">
        <references count="2">
          <reference field="4294967294" count="1" selected="0">
            <x v="0"/>
          </reference>
          <reference field="4" count="1" selected="0">
            <x v="2"/>
          </reference>
        </references>
      </pivotArea>
    </chartFormat>
    <chartFormat chart="2" format="25">
      <pivotArea type="data" outline="0" fieldPosition="0">
        <references count="2">
          <reference field="4294967294" count="1" selected="0">
            <x v="0"/>
          </reference>
          <reference field="4" count="1" selected="0">
            <x v="0"/>
          </reference>
        </references>
      </pivotArea>
    </chartFormat>
    <chartFormat chart="2" format="26">
      <pivotArea type="data" outline="0" fieldPosition="0">
        <references count="2">
          <reference field="4294967294" count="1" selected="0">
            <x v="0"/>
          </reference>
          <reference field="4" count="1" selected="0">
            <x v="1"/>
          </reference>
        </references>
      </pivotArea>
    </chartFormat>
    <chartFormat chart="2" format="27">
      <pivotArea type="data" outline="0" fieldPosition="0">
        <references count="2">
          <reference field="4294967294" count="1" selected="0">
            <x v="0"/>
          </reference>
          <reference field="4" count="1" selected="0">
            <x v="2"/>
          </reference>
        </references>
      </pivotArea>
    </chartFormat>
    <chartFormat chart="2" format="2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4" cacheId="42"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chartFormat="3">
  <location ref="B41:E47" firstHeaderRow="0" firstDataRow="1" firstDataCol="1"/>
  <pivotFields count="11">
    <pivotField axis="axisRow" showAll="0">
      <items count="6">
        <item x="0"/>
        <item x="1"/>
        <item x="2"/>
        <item x="3"/>
        <item x="4"/>
        <item t="default"/>
      </items>
    </pivotField>
    <pivotField showAll="0"/>
    <pivotField showAll="0"/>
    <pivotField showAll="0"/>
    <pivotField showAll="0"/>
    <pivotField showAll="0"/>
    <pivotField showAll="0"/>
    <pivotField showAll="0"/>
    <pivotField dataField="1" showAll="0"/>
    <pivotField dataField="1" showAll="0"/>
    <pivotField dataField="1" showAll="0"/>
  </pivotFields>
  <rowFields count="1">
    <field x="0"/>
  </rowFields>
  <rowItems count="6">
    <i>
      <x/>
    </i>
    <i>
      <x v="1"/>
    </i>
    <i>
      <x v="2"/>
    </i>
    <i>
      <x v="3"/>
    </i>
    <i>
      <x v="4"/>
    </i>
    <i t="grand">
      <x/>
    </i>
  </rowItems>
  <colFields count="1">
    <field x="-2"/>
  </colFields>
  <colItems count="3">
    <i>
      <x/>
    </i>
    <i i="1">
      <x v="1"/>
    </i>
    <i i="2">
      <x v="2"/>
    </i>
  </colItems>
  <dataFields count="3">
    <dataField name="Sum of GP Margin" fld="8" baseField="0" baseItem="0"/>
    <dataField name="Sum of NP Margin" fld="9" baseField="0" baseItem="0"/>
    <dataField name="Sum of ROCE" fld="10" baseField="0" baseItem="0"/>
  </dataFields>
  <formats count="4">
    <format dxfId="70">
      <pivotArea outline="0" collapsedLevelsAreSubtotals="1" fieldPosition="0"/>
    </format>
    <format dxfId="69">
      <pivotArea outline="0" collapsedLevelsAreSubtotals="1" fieldPosition="0"/>
    </format>
    <format dxfId="68">
      <pivotArea outline="0" collapsedLevelsAreSubtotals="1" fieldPosition="0"/>
    </format>
    <format dxfId="67">
      <pivotArea outline="0" collapsedLevelsAreSubtotals="1" fieldPosition="0"/>
    </format>
  </formats>
  <chartFormats count="3">
    <chartFormat chart="2" format="50" series="1">
      <pivotArea type="data" outline="0" fieldPosition="0">
        <references count="1">
          <reference field="4294967294" count="1" selected="0">
            <x v="0"/>
          </reference>
        </references>
      </pivotArea>
    </chartFormat>
    <chartFormat chart="2" format="51" series="1">
      <pivotArea type="data" outline="0" fieldPosition="0">
        <references count="1">
          <reference field="4294967294" count="1" selected="0">
            <x v="1"/>
          </reference>
        </references>
      </pivotArea>
    </chartFormat>
    <chartFormat chart="2" format="5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42"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location ref="B32:E38" firstHeaderRow="0" firstDataRow="1" firstDataCol="1"/>
  <pivotFields count="11">
    <pivotField axis="axisRow" showAll="0">
      <items count="6">
        <item x="0"/>
        <item x="1"/>
        <item x="2"/>
        <item x="3"/>
        <item x="4"/>
        <item t="default"/>
      </items>
    </pivotField>
    <pivotField dataField="1" showAll="0"/>
    <pivotField showAll="0"/>
    <pivotField dataField="1" showAll="0"/>
    <pivotField showAll="0"/>
    <pivotField showAll="0"/>
    <pivotField showAll="0"/>
    <pivotField dataField="1" showAll="0"/>
    <pivotField showAll="0"/>
    <pivotField showAll="0"/>
    <pivotField showAll="0"/>
  </pivotFields>
  <rowFields count="1">
    <field x="0"/>
  </rowFields>
  <rowItems count="6">
    <i>
      <x/>
    </i>
    <i>
      <x v="1"/>
    </i>
    <i>
      <x v="2"/>
    </i>
    <i>
      <x v="3"/>
    </i>
    <i>
      <x v="4"/>
    </i>
    <i t="grand">
      <x/>
    </i>
  </rowItems>
  <colFields count="1">
    <field x="-2"/>
  </colFields>
  <colItems count="3">
    <i>
      <x/>
    </i>
    <i i="1">
      <x v="1"/>
    </i>
    <i i="2">
      <x v="2"/>
    </i>
  </colItems>
  <dataFields count="3">
    <dataField name="Average of Revenue" fld="1" subtotal="average" baseField="0" baseItem="0"/>
    <dataField name="Average of  Gross Profit" fld="3" subtotal="average" baseField="0" baseItem="0"/>
    <dataField name="Average of Net Profit" fld="7" subtotal="average" baseField="0" baseItem="0"/>
  </dataFields>
  <formats count="3">
    <format dxfId="73">
      <pivotArea outline="0" collapsedLevelsAreSubtotals="1" fieldPosition="0"/>
    </format>
    <format dxfId="72">
      <pivotArea outline="0" collapsedLevelsAreSubtotals="1" fieldPosition="0"/>
    </format>
    <format dxfId="7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42" applyNumberFormats="0" applyBorderFormats="0" applyFontFormats="0" applyPatternFormats="0" applyAlignmentFormats="0" applyWidthHeightFormats="1" dataCaption="Values" updatedVersion="6" minRefreshableVersion="3" useAutoFormatting="1" colGrandTotals="0" itemPrintTitles="1" createdVersion="6" indent="0" outline="1" outlineData="1" multipleFieldFilters="0" chartFormat="3">
  <location ref="B22:E29" firstHeaderRow="1" firstDataRow="2" firstDataCol="1"/>
  <pivotFields count="11">
    <pivotField axis="axisRow" showAll="0">
      <items count="6">
        <item x="0"/>
        <item x="1"/>
        <item x="2"/>
        <item x="3"/>
        <item x="4"/>
        <item t="default"/>
      </items>
    </pivotField>
    <pivotField showAll="0"/>
    <pivotField showAll="0"/>
    <pivotField showAll="0"/>
    <pivotField axis="axisCol" showAll="0">
      <items count="5">
        <item x="2"/>
        <item x="1"/>
        <item x="3"/>
        <item h="1" x="0"/>
        <item t="default"/>
      </items>
    </pivotField>
    <pivotField dataField="1" showAll="0"/>
    <pivotField showAll="0"/>
    <pivotField showAll="0"/>
    <pivotField showAll="0"/>
    <pivotField showAll="0"/>
    <pivotField showAll="0"/>
  </pivotFields>
  <rowFields count="1">
    <field x="0"/>
  </rowFields>
  <rowItems count="6">
    <i>
      <x/>
    </i>
    <i>
      <x v="1"/>
    </i>
    <i>
      <x v="2"/>
    </i>
    <i>
      <x v="3"/>
    </i>
    <i>
      <x v="4"/>
    </i>
    <i t="grand">
      <x/>
    </i>
  </rowItems>
  <colFields count="1">
    <field x="4"/>
  </colFields>
  <colItems count="3">
    <i>
      <x/>
    </i>
    <i>
      <x v="1"/>
    </i>
    <i>
      <x v="2"/>
    </i>
  </colItems>
  <dataFields count="1">
    <dataField name="Sum of OPEX" fld="5" baseField="0" baseItem="1"/>
  </dataFields>
  <formats count="3">
    <format dxfId="76">
      <pivotArea outline="0" collapsedLevelsAreSubtotals="1" fieldPosition="0"/>
    </format>
    <format dxfId="75">
      <pivotArea outline="0" collapsedLevelsAreSubtotals="1" fieldPosition="0"/>
    </format>
    <format dxfId="74">
      <pivotArea outline="0" collapsedLevelsAreSubtotals="1" fieldPosition="0"/>
    </format>
  </formats>
  <chartFormats count="3">
    <chartFormat chart="2" format="18" series="1">
      <pivotArea type="data" outline="0" fieldPosition="0">
        <references count="2">
          <reference field="4294967294" count="1" selected="0">
            <x v="0"/>
          </reference>
          <reference field="4" count="1" selected="0">
            <x v="0"/>
          </reference>
        </references>
      </pivotArea>
    </chartFormat>
    <chartFormat chart="2" format="19" series="1">
      <pivotArea type="data" outline="0" fieldPosition="0">
        <references count="2">
          <reference field="4294967294" count="1" selected="0">
            <x v="0"/>
          </reference>
          <reference field="4" count="1" selected="0">
            <x v="1"/>
          </reference>
        </references>
      </pivotArea>
    </chartFormat>
    <chartFormat chart="2" format="20"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4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B3:E9" firstHeaderRow="0" firstDataRow="1" firstDataCol="1"/>
  <pivotFields count="11">
    <pivotField axis="axisRow" showAll="0">
      <items count="6">
        <item x="0"/>
        <item x="1"/>
        <item x="2"/>
        <item x="3"/>
        <item x="4"/>
        <item t="default"/>
      </items>
    </pivotField>
    <pivotField dataField="1" showAll="0"/>
    <pivotField dataField="1" showAll="0"/>
    <pivotField dataField="1" showAll="0"/>
    <pivotField showAll="0"/>
    <pivotField showAll="0"/>
    <pivotField showAll="0"/>
    <pivotField showAll="0"/>
    <pivotField showAll="0"/>
    <pivotField showAll="0"/>
    <pivotField showAll="0"/>
  </pivotFields>
  <rowFields count="1">
    <field x="0"/>
  </rowFields>
  <rowItems count="6">
    <i>
      <x/>
    </i>
    <i>
      <x v="1"/>
    </i>
    <i>
      <x v="2"/>
    </i>
    <i>
      <x v="3"/>
    </i>
    <i>
      <x v="4"/>
    </i>
    <i t="grand">
      <x/>
    </i>
  </rowItems>
  <colFields count="1">
    <field x="-2"/>
  </colFields>
  <colItems count="3">
    <i>
      <x/>
    </i>
    <i i="1">
      <x v="1"/>
    </i>
    <i i="2">
      <x v="2"/>
    </i>
  </colItems>
  <dataFields count="3">
    <dataField name="Sum of Revenue" fld="1" baseField="0" baseItem="0"/>
    <dataField name="Sum of Cost Of Sales" fld="2" baseField="0" baseItem="0"/>
    <dataField name="Sum of  Gross Profit" fld="3" baseField="0" baseItem="0"/>
  </dataFields>
  <formats count="3">
    <format dxfId="79">
      <pivotArea outline="0" collapsedLevelsAreSubtotals="1" fieldPosition="0"/>
    </format>
    <format dxfId="78">
      <pivotArea outline="0" collapsedLevelsAreSubtotals="1" fieldPosition="0"/>
    </format>
    <format dxfId="77">
      <pivotArea outline="0" collapsedLevelsAreSubtotals="1" fieldPosition="0"/>
    </format>
  </formats>
  <chartFormats count="3">
    <chartFormat chart="2" format="27" series="1">
      <pivotArea type="data" outline="0" fieldPosition="0">
        <references count="1">
          <reference field="4294967294" count="1" selected="0">
            <x v="0"/>
          </reference>
        </references>
      </pivotArea>
    </chartFormat>
    <chartFormat chart="2" format="28" series="1">
      <pivotArea type="data" outline="0" fieldPosition="0">
        <references count="1">
          <reference field="4294967294" count="1" selected="0">
            <x v="1"/>
          </reference>
        </references>
      </pivotArea>
    </chartFormat>
    <chartFormat chart="2" format="29"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13" name="PivotTable1"/>
    <pivotTable tabId="13" name="PivotTable2"/>
    <pivotTable tabId="13" name="PivotTable3"/>
    <pivotTable tabId="13" name="PivotTable4"/>
    <pivotTable tabId="13" name="PivotTable8"/>
  </pivotTables>
  <data>
    <tabular pivotCacheId="1">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style="SlicerStyleLight5" rowHeight="241300"/>
</slicers>
</file>

<file path=xl/tables/table1.xml><?xml version="1.0" encoding="utf-8"?>
<table xmlns="http://schemas.openxmlformats.org/spreadsheetml/2006/main" id="1" name="Table1" displayName="Table1" ref="C4:M24" totalsRowShown="0">
  <autoFilter ref="C4:M24"/>
  <tableColumns count="11">
    <tableColumn id="1" name="Year" dataDxfId="81"/>
    <tableColumn id="2" name="Revenue"/>
    <tableColumn id="3" name="Cost Of Sales"/>
    <tableColumn id="4" name=" Gross Profit"/>
    <tableColumn id="5" name="OPEX Items"/>
    <tableColumn id="6" name="OPEX" dataDxfId="80" dataCellStyle="Comma"/>
    <tableColumn id="7" name="Operating Profit"/>
    <tableColumn id="8" name="Net Profit"/>
    <tableColumn id="9" name="GP Margin"/>
    <tableColumn id="10" name="NP Margin"/>
    <tableColumn id="11" name="ROCE"/>
  </tableColumns>
  <tableStyleInfo name="TableStyleMedium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2.bin"/><Relationship Id="rId5" Type="http://schemas.microsoft.com/office/2007/relationships/slicer" Target="../slicers/slicer1.xml"/><Relationship Id="rId4" Type="http://schemas.openxmlformats.org/officeDocument/2006/relationships/ctrlProp" Target="../ctrlProps/ctrlProp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openxmlformats.org/officeDocument/2006/relationships/ctrlProp" Target="../ctrlProps/ctrlProp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4.bin"/><Relationship Id="rId1" Type="http://schemas.openxmlformats.org/officeDocument/2006/relationships/hyperlink" Target="https://tradingeconomics.com/nigeria/government-bond-yield" TargetMode="External"/><Relationship Id="rId5" Type="http://schemas.openxmlformats.org/officeDocument/2006/relationships/ctrlProp" Target="../ctrlProps/ctrlProp4.xml"/><Relationship Id="rId4"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6.xml"/><Relationship Id="rId1" Type="http://schemas.openxmlformats.org/officeDocument/2006/relationships/printerSettings" Target="../printerSettings/printerSettings5.bin"/><Relationship Id="rId4" Type="http://schemas.openxmlformats.org/officeDocument/2006/relationships/ctrlProp" Target="../ctrlProps/ctrlProp5.xml"/></Relationships>
</file>

<file path=xl/worksheets/_rels/sheet8.xml.rels><?xml version="1.0" encoding="UTF-8" standalone="yes"?>
<Relationships xmlns="http://schemas.openxmlformats.org/package/2006/relationships"><Relationship Id="rId3" Type="http://schemas.openxmlformats.org/officeDocument/2006/relationships/ctrlProp" Target="../ctrlProps/ctrlProp6.xml"/><Relationship Id="rId2" Type="http://schemas.openxmlformats.org/officeDocument/2006/relationships/vmlDrawing" Target="../drawings/vmlDrawing6.v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3" Type="http://schemas.openxmlformats.org/officeDocument/2006/relationships/ctrlProp" Target="../ctrlProps/ctrlProp7.xml"/><Relationship Id="rId2" Type="http://schemas.openxmlformats.org/officeDocument/2006/relationships/vmlDrawing" Target="../drawings/vmlDrawing7.vml"/><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9.xml"/><Relationship Id="rId1" Type="http://schemas.openxmlformats.org/officeDocument/2006/relationships/printerSettings" Target="../printerSettings/printerSettings6.bin"/><Relationship Id="rId4" Type="http://schemas.openxmlformats.org/officeDocument/2006/relationships/ctrlProp" Target="../ctrlProps/ctrlProp8.xml"/></Relationships>
</file>

<file path=xl/worksheets/_rels/sheet11.xml.rels><?xml version="1.0" encoding="UTF-8" standalone="yes"?>
<Relationships xmlns="http://schemas.openxmlformats.org/package/2006/relationships"><Relationship Id="rId3" Type="http://schemas.openxmlformats.org/officeDocument/2006/relationships/ctrlProp" Target="../ctrlProps/ctrlProp9.xml"/><Relationship Id="rId2" Type="http://schemas.openxmlformats.org/officeDocument/2006/relationships/vmlDrawing" Target="../drawings/vmlDrawing9.vml"/><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3" Type="http://schemas.openxmlformats.org/officeDocument/2006/relationships/ctrlProp" Target="../ctrlProps/ctrlProp10.xml"/><Relationship Id="rId2" Type="http://schemas.openxmlformats.org/officeDocument/2006/relationships/vmlDrawing" Target="../drawings/vmlDrawing10.vml"/><Relationship Id="rId1" Type="http://schemas.openxmlformats.org/officeDocument/2006/relationships/drawing" Target="../drawings/drawing11.xml"/><Relationship Id="rId4" Type="http://schemas.openxmlformats.org/officeDocument/2006/relationships/table" Target="../tables/table1.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249977111117893"/>
  </sheetPr>
  <dimension ref="A1"/>
  <sheetViews>
    <sheetView showGridLines="0" workbookViewId="0">
      <selection activeCell="R6" sqref="R6"/>
    </sheetView>
  </sheetViews>
  <sheetFormatPr defaultRowHeight="15" x14ac:dyDescent="0.25"/>
  <cols>
    <col min="1" max="16384" width="9.140625" style="2"/>
  </cols>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8" tint="-0.249977111117893"/>
  </sheetPr>
  <dimension ref="B1:M105"/>
  <sheetViews>
    <sheetView showGridLines="0" zoomScale="80" zoomScaleNormal="80" workbookViewId="0">
      <selection activeCell="J20" sqref="J20"/>
    </sheetView>
  </sheetViews>
  <sheetFormatPr defaultRowHeight="15" x14ac:dyDescent="0.25"/>
  <cols>
    <col min="1" max="2" width="9.140625" style="8"/>
    <col min="3" max="3" width="3.7109375" style="8" customWidth="1"/>
    <col min="4" max="4" width="9.140625" style="8"/>
    <col min="5" max="5" width="13.28515625" style="8" customWidth="1"/>
    <col min="6" max="6" width="14.7109375" style="8" customWidth="1"/>
    <col min="7" max="7" width="15.42578125" style="8" bestFit="1" customWidth="1"/>
    <col min="8" max="11" width="14.28515625" style="8" bestFit="1" customWidth="1"/>
    <col min="12" max="12" width="9.140625" style="8"/>
    <col min="13" max="13" width="20.28515625" style="8" customWidth="1"/>
    <col min="14" max="16384" width="9.140625" style="8"/>
  </cols>
  <sheetData>
    <row r="1" spans="2:13" ht="15.75" thickBot="1" x14ac:dyDescent="0.3">
      <c r="B1" s="20" t="s">
        <v>41</v>
      </c>
      <c r="H1" s="20" t="s">
        <v>3</v>
      </c>
      <c r="K1" s="20" t="s">
        <v>42</v>
      </c>
      <c r="L1" s="119" t="s">
        <v>266</v>
      </c>
    </row>
    <row r="2" spans="2:13" ht="15.75" thickTop="1" x14ac:dyDescent="0.25">
      <c r="B2" s="9"/>
      <c r="C2" s="10"/>
      <c r="D2" s="10"/>
      <c r="E2" s="10"/>
      <c r="F2" s="10"/>
      <c r="G2" s="10"/>
      <c r="H2" s="10"/>
      <c r="I2" s="10"/>
      <c r="J2" s="10"/>
      <c r="K2" s="10"/>
      <c r="L2" s="10"/>
      <c r="M2" s="11"/>
    </row>
    <row r="3" spans="2:13" ht="23.25" x14ac:dyDescent="0.35">
      <c r="B3" s="12"/>
      <c r="C3" s="13" t="s">
        <v>1</v>
      </c>
      <c r="D3" s="13"/>
      <c r="E3" s="4"/>
      <c r="F3" s="14" t="s">
        <v>3</v>
      </c>
      <c r="G3" s="4"/>
      <c r="H3" s="4"/>
      <c r="J3" s="4"/>
      <c r="K3" s="4"/>
      <c r="L3" s="4"/>
      <c r="M3" s="15"/>
    </row>
    <row r="4" spans="2:13" ht="18.75" x14ac:dyDescent="0.3">
      <c r="B4" s="12"/>
      <c r="C4" s="16" t="s">
        <v>2</v>
      </c>
      <c r="D4" s="4"/>
      <c r="E4" s="17" t="s">
        <v>4</v>
      </c>
      <c r="F4" s="4"/>
      <c r="G4" s="4"/>
      <c r="H4" s="4"/>
      <c r="I4" s="4"/>
      <c r="J4" s="4"/>
      <c r="K4" s="4"/>
      <c r="L4" s="4"/>
      <c r="M4" s="15"/>
    </row>
    <row r="5" spans="2:13" x14ac:dyDescent="0.25">
      <c r="B5" s="12"/>
      <c r="C5" s="4"/>
      <c r="D5" s="4"/>
      <c r="E5" s="4"/>
      <c r="F5" s="4"/>
      <c r="G5" s="4"/>
      <c r="H5" s="4"/>
      <c r="I5" s="4"/>
      <c r="J5" s="4"/>
      <c r="K5" s="4"/>
      <c r="L5" s="4"/>
      <c r="M5" s="15"/>
    </row>
    <row r="6" spans="2:13" x14ac:dyDescent="0.25">
      <c r="B6" s="12"/>
      <c r="C6" s="7" t="s">
        <v>5</v>
      </c>
      <c r="D6" s="4"/>
      <c r="E6" s="4"/>
      <c r="F6" s="4"/>
      <c r="G6" s="41">
        <f>Workings!K90</f>
        <v>17537693.333333332</v>
      </c>
      <c r="H6" s="4"/>
      <c r="I6" s="4"/>
      <c r="J6" s="4"/>
      <c r="K6" s="4"/>
      <c r="L6" s="4"/>
      <c r="M6" s="15"/>
    </row>
    <row r="7" spans="2:13" x14ac:dyDescent="0.25">
      <c r="B7" s="12"/>
      <c r="C7" s="7" t="s">
        <v>6</v>
      </c>
      <c r="D7" s="4"/>
      <c r="E7" s="4"/>
      <c r="F7" s="4"/>
      <c r="G7" s="41">
        <f>Valuation!I21</f>
        <v>233023914.66159701</v>
      </c>
      <c r="H7" s="4"/>
      <c r="I7" s="4"/>
      <c r="J7" s="4"/>
      <c r="K7" s="4"/>
      <c r="L7" s="4"/>
      <c r="M7" s="15"/>
    </row>
    <row r="8" spans="2:13" x14ac:dyDescent="0.25">
      <c r="B8" s="12"/>
      <c r="C8" s="7" t="s">
        <v>7</v>
      </c>
      <c r="D8" s="4"/>
      <c r="E8" s="4"/>
      <c r="F8" s="4"/>
      <c r="G8" s="41">
        <f>Valuation!I41</f>
        <v>95496029.748393655</v>
      </c>
      <c r="H8" s="4"/>
      <c r="I8" s="4"/>
      <c r="J8" s="4"/>
      <c r="K8" s="4"/>
      <c r="L8" s="4"/>
      <c r="M8" s="15"/>
    </row>
    <row r="9" spans="2:13" x14ac:dyDescent="0.25">
      <c r="B9" s="12"/>
      <c r="C9" s="4"/>
      <c r="D9" s="4"/>
      <c r="E9" s="4"/>
      <c r="F9" s="4"/>
      <c r="G9" s="4"/>
      <c r="H9" s="4"/>
      <c r="I9" s="4"/>
      <c r="J9" s="4"/>
      <c r="K9" s="4"/>
      <c r="L9" s="4"/>
      <c r="M9" s="15"/>
    </row>
    <row r="10" spans="2:13" x14ac:dyDescent="0.25">
      <c r="B10" s="12"/>
      <c r="C10" s="4"/>
      <c r="D10" s="4"/>
      <c r="E10" s="4"/>
      <c r="F10" s="4"/>
      <c r="G10" s="4">
        <v>2025</v>
      </c>
      <c r="H10" s="4">
        <f>G10+1</f>
        <v>2026</v>
      </c>
      <c r="I10" s="4">
        <f>H10+1</f>
        <v>2027</v>
      </c>
      <c r="J10" s="4">
        <f>I10+1</f>
        <v>2028</v>
      </c>
      <c r="K10" s="4">
        <f>J10+1</f>
        <v>2029</v>
      </c>
      <c r="M10" s="15"/>
    </row>
    <row r="11" spans="2:13" x14ac:dyDescent="0.25">
      <c r="B11" s="12"/>
      <c r="C11" s="7" t="s">
        <v>8</v>
      </c>
      <c r="D11" s="4"/>
      <c r="E11" s="4"/>
      <c r="F11" s="4"/>
      <c r="G11" s="4"/>
      <c r="H11" s="4"/>
      <c r="I11" s="4"/>
      <c r="J11" s="4"/>
      <c r="K11" s="4"/>
      <c r="L11" s="4"/>
      <c r="M11" s="15"/>
    </row>
    <row r="12" spans="2:13" x14ac:dyDescent="0.25">
      <c r="B12" s="12"/>
      <c r="C12" s="4"/>
      <c r="D12" s="4" t="s">
        <v>10</v>
      </c>
      <c r="E12" s="4"/>
      <c r="F12" s="4"/>
      <c r="G12" s="41">
        <f>'Income Statement'!I4</f>
        <v>56448000</v>
      </c>
      <c r="H12" s="41">
        <f>'Income Statement'!J4</f>
        <v>64610380.799999997</v>
      </c>
      <c r="I12" s="41">
        <f>'Income Statement'!K4</f>
        <v>73655834.112000018</v>
      </c>
      <c r="J12" s="41">
        <f>'Income Statement'!L4</f>
        <v>83967650.887680024</v>
      </c>
      <c r="K12" s="41">
        <f>'Income Statement'!M4</f>
        <v>95723122.011955231</v>
      </c>
      <c r="L12" s="4"/>
      <c r="M12" s="15"/>
    </row>
    <row r="13" spans="2:13" x14ac:dyDescent="0.25">
      <c r="B13" s="12"/>
      <c r="C13" s="4"/>
      <c r="D13" s="4" t="s">
        <v>9</v>
      </c>
      <c r="E13" s="4"/>
      <c r="F13" s="4"/>
      <c r="G13" s="110">
        <f>-'Income Statement'!I6</f>
        <v>16934400</v>
      </c>
      <c r="H13" s="110">
        <f>-'Income Statement'!J6</f>
        <v>19383114.239999998</v>
      </c>
      <c r="I13" s="110">
        <f>-'Income Statement'!K6</f>
        <v>22096750.233600002</v>
      </c>
      <c r="J13" s="110">
        <f>-'Income Statement'!L6</f>
        <v>25190295.266304005</v>
      </c>
      <c r="K13" s="110">
        <f>-'Income Statement'!M6</f>
        <v>28716936.603586566</v>
      </c>
      <c r="L13" s="4"/>
      <c r="M13" s="15"/>
    </row>
    <row r="14" spans="2:13" x14ac:dyDescent="0.25">
      <c r="B14" s="12"/>
      <c r="C14" s="4"/>
      <c r="D14" s="4" t="s">
        <v>11</v>
      </c>
      <c r="E14" s="4"/>
      <c r="F14" s="4"/>
      <c r="G14" s="105">
        <f>'Income Statement'!I8</f>
        <v>39513600</v>
      </c>
      <c r="H14" s="105">
        <f>'Income Statement'!J8</f>
        <v>45227266.560000002</v>
      </c>
      <c r="I14" s="105">
        <f>'Income Statement'!K8</f>
        <v>51559083.878400013</v>
      </c>
      <c r="J14" s="105">
        <f>'Income Statement'!L8</f>
        <v>58777355.621376023</v>
      </c>
      <c r="K14" s="105">
        <f>'Income Statement'!M8</f>
        <v>67006185.408368662</v>
      </c>
      <c r="L14" s="4"/>
      <c r="M14" s="15"/>
    </row>
    <row r="15" spans="2:13" x14ac:dyDescent="0.25">
      <c r="B15" s="12"/>
      <c r="C15" s="4"/>
      <c r="D15" s="4" t="s">
        <v>12</v>
      </c>
      <c r="E15" s="4"/>
      <c r="F15" s="4"/>
      <c r="G15" s="110">
        <f>-'Income Statement'!I10</f>
        <v>12304480</v>
      </c>
      <c r="H15" s="110">
        <f>-'Income Statement'!J10</f>
        <v>14386103.808</v>
      </c>
      <c r="I15" s="110">
        <f>-'Income Statement'!K10</f>
        <v>14476558.341120001</v>
      </c>
      <c r="J15" s="110">
        <f>-'Income Statement'!L10</f>
        <v>14579676.508876801</v>
      </c>
      <c r="K15" s="110">
        <f>-'Income Statement'!M10</f>
        <v>14697231.220119553</v>
      </c>
      <c r="L15" s="4"/>
      <c r="M15" s="15"/>
    </row>
    <row r="16" spans="2:13" x14ac:dyDescent="0.25">
      <c r="B16" s="12"/>
      <c r="C16" s="4"/>
      <c r="D16" s="4" t="s">
        <v>13</v>
      </c>
      <c r="E16" s="4"/>
      <c r="F16" s="4"/>
      <c r="G16" s="105">
        <f>'Income Statement'!I12</f>
        <v>27209120</v>
      </c>
      <c r="H16" s="105">
        <f>'Income Statement'!J12</f>
        <v>30841162.752000004</v>
      </c>
      <c r="I16" s="105">
        <f>'Income Statement'!K12</f>
        <v>37082525.537280008</v>
      </c>
      <c r="J16" s="105">
        <f>'Income Statement'!L12</f>
        <v>44197679.112499222</v>
      </c>
      <c r="K16" s="105">
        <f>'Income Statement'!M12</f>
        <v>52308954.188249111</v>
      </c>
      <c r="L16" s="4"/>
      <c r="M16" s="15"/>
    </row>
    <row r="17" spans="2:13" x14ac:dyDescent="0.25">
      <c r="B17" s="12"/>
      <c r="C17" s="4"/>
      <c r="D17" s="4" t="s">
        <v>14</v>
      </c>
      <c r="E17" s="4"/>
      <c r="F17" s="4"/>
      <c r="G17" s="105">
        <f>'Income Statement'!I16</f>
        <v>25104320</v>
      </c>
      <c r="H17" s="105">
        <f>'Income Statement'!J16</f>
        <v>28736362.752000004</v>
      </c>
      <c r="I17" s="105">
        <f>'Income Statement'!K16</f>
        <v>34977725.537280008</v>
      </c>
      <c r="J17" s="105">
        <f>'Income Statement'!L16</f>
        <v>41922879.112499222</v>
      </c>
      <c r="K17" s="105">
        <f>'Income Statement'!M16</f>
        <v>50034154.188249111</v>
      </c>
      <c r="L17" s="4"/>
      <c r="M17" s="15"/>
    </row>
    <row r="18" spans="2:13" x14ac:dyDescent="0.25">
      <c r="B18" s="12"/>
      <c r="C18" s="4"/>
      <c r="D18" s="4" t="s">
        <v>15</v>
      </c>
      <c r="E18" s="4"/>
      <c r="F18" s="4"/>
      <c r="G18" s="105">
        <f>'Income Statement'!I18</f>
        <v>25104320</v>
      </c>
      <c r="H18" s="105">
        <f>'Income Statement'!J18</f>
        <v>28736362.752000004</v>
      </c>
      <c r="I18" s="105">
        <f>'Income Statement'!K18</f>
        <v>34977725.537280008</v>
      </c>
      <c r="J18" s="105">
        <f>'Income Statement'!L18</f>
        <v>41922879.112499222</v>
      </c>
      <c r="K18" s="105">
        <f>'Income Statement'!M18</f>
        <v>50034154.188249111</v>
      </c>
      <c r="L18" s="4"/>
      <c r="M18" s="15"/>
    </row>
    <row r="19" spans="2:13" x14ac:dyDescent="0.25">
      <c r="B19" s="12"/>
      <c r="C19" s="4"/>
      <c r="D19" s="4"/>
      <c r="E19" s="4"/>
      <c r="F19" s="4"/>
      <c r="G19" s="4"/>
      <c r="H19" s="4"/>
      <c r="I19" s="4"/>
      <c r="J19" s="4"/>
      <c r="K19" s="4"/>
      <c r="L19" s="4"/>
      <c r="M19" s="15"/>
    </row>
    <row r="20" spans="2:13" x14ac:dyDescent="0.25">
      <c r="B20" s="12"/>
      <c r="C20" s="7" t="s">
        <v>16</v>
      </c>
      <c r="D20" s="4"/>
      <c r="E20" s="4"/>
      <c r="F20" s="4"/>
      <c r="G20" s="4"/>
      <c r="H20" s="4"/>
      <c r="I20" s="4"/>
      <c r="J20" s="4"/>
      <c r="K20" s="4"/>
      <c r="L20" s="4"/>
      <c r="M20" s="15"/>
    </row>
    <row r="21" spans="2:13" x14ac:dyDescent="0.25">
      <c r="B21" s="12"/>
      <c r="C21" s="4"/>
      <c r="D21" s="4" t="s">
        <v>17</v>
      </c>
      <c r="E21" s="4"/>
      <c r="F21" s="4"/>
      <c r="G21" s="41">
        <f>'Balance Sheet'!K9</f>
        <v>7895200</v>
      </c>
      <c r="H21" s="41">
        <f>'Balance Sheet'!L9</f>
        <v>5790400</v>
      </c>
      <c r="I21" s="41">
        <f>'Balance Sheet'!M9</f>
        <v>3685600</v>
      </c>
      <c r="J21" s="41">
        <f>'Balance Sheet'!N9</f>
        <v>2260800</v>
      </c>
      <c r="K21" s="41">
        <f>'Balance Sheet'!O9</f>
        <v>-14000</v>
      </c>
      <c r="L21" s="4"/>
      <c r="M21" s="15"/>
    </row>
    <row r="22" spans="2:13" x14ac:dyDescent="0.25">
      <c r="B22" s="12"/>
      <c r="C22" s="4"/>
      <c r="D22" s="4" t="s">
        <v>18</v>
      </c>
      <c r="E22" s="4"/>
      <c r="F22" s="4"/>
      <c r="G22" s="41">
        <f>'Balance Sheet'!K14</f>
        <v>34982013.333333328</v>
      </c>
      <c r="H22" s="41">
        <f>'Balance Sheet'!L14</f>
        <v>59581106.005333334</v>
      </c>
      <c r="I22" s="41">
        <f>'Balance Sheet'!M14</f>
        <v>89517230.243413344</v>
      </c>
      <c r="J22" s="41">
        <f>'Balance Sheet'!N14</f>
        <v>124163443.87482457</v>
      </c>
      <c r="K22" s="41">
        <f>'Balance Sheet'!O14</f>
        <v>166040659.41463336</v>
      </c>
      <c r="L22" s="4"/>
      <c r="M22" s="15"/>
    </row>
    <row r="23" spans="2:13" x14ac:dyDescent="0.25">
      <c r="B23" s="12"/>
      <c r="C23" s="4"/>
      <c r="D23" s="4" t="s">
        <v>19</v>
      </c>
      <c r="E23" s="4"/>
      <c r="F23" s="4"/>
      <c r="G23" s="41">
        <f>'Balance Sheet'!K16</f>
        <v>42877213.333333328</v>
      </c>
      <c r="H23" s="41">
        <f>'Balance Sheet'!L16</f>
        <v>65371506.005333334</v>
      </c>
      <c r="I23" s="41">
        <f>'Balance Sheet'!M16</f>
        <v>93202830.243413344</v>
      </c>
      <c r="J23" s="41">
        <f>'Balance Sheet'!N16</f>
        <v>126424243.87482457</v>
      </c>
      <c r="K23" s="41">
        <f>'Balance Sheet'!O16</f>
        <v>166026659.41463336</v>
      </c>
      <c r="L23" s="4"/>
      <c r="M23" s="15"/>
    </row>
    <row r="24" spans="2:13" x14ac:dyDescent="0.25">
      <c r="B24" s="12"/>
      <c r="C24" s="4"/>
      <c r="D24" s="4" t="s">
        <v>20</v>
      </c>
      <c r="E24" s="4"/>
      <c r="F24" s="4"/>
      <c r="G24" s="41">
        <f>'Balance Sheet'!K16-'Balance Sheet'!K30</f>
        <v>36365933.333333328</v>
      </c>
      <c r="H24" s="41">
        <f>'Balance Sheet'!L16-'Balance Sheet'!L30</f>
        <v>57918205.397333331</v>
      </c>
      <c r="I24" s="41">
        <f>'Balance Sheet'!M16-'Balance Sheet'!M30</f>
        <v>84151499.550293341</v>
      </c>
      <c r="J24" s="41">
        <f>'Balance Sheet'!N16-'Balance Sheet'!N30</f>
        <v>115593658.88466777</v>
      </c>
      <c r="K24" s="41">
        <f>'Balance Sheet'!O16-'Balance Sheet'!O30</f>
        <v>153119274.52585462</v>
      </c>
      <c r="L24" s="4"/>
      <c r="M24" s="15"/>
    </row>
    <row r="25" spans="2:13" x14ac:dyDescent="0.25">
      <c r="B25" s="12"/>
      <c r="C25" s="4"/>
      <c r="D25" s="4"/>
      <c r="E25" s="4"/>
      <c r="F25" s="4"/>
      <c r="G25" s="4"/>
      <c r="H25" s="4"/>
      <c r="I25" s="4"/>
      <c r="J25" s="4"/>
      <c r="K25" s="4"/>
      <c r="L25" s="4"/>
      <c r="M25" s="15"/>
    </row>
    <row r="26" spans="2:13" x14ac:dyDescent="0.25">
      <c r="B26" s="12"/>
      <c r="C26" s="7" t="s">
        <v>21</v>
      </c>
      <c r="D26" s="4"/>
      <c r="E26" s="4"/>
      <c r="F26" s="4"/>
      <c r="G26" s="4"/>
      <c r="H26" s="4"/>
      <c r="I26" s="4"/>
      <c r="J26" s="4"/>
      <c r="K26" s="4"/>
      <c r="L26" s="4"/>
      <c r="M26" s="15"/>
    </row>
    <row r="27" spans="2:13" x14ac:dyDescent="0.25">
      <c r="B27" s="12"/>
      <c r="C27" s="4"/>
      <c r="D27" s="4" t="s">
        <v>22</v>
      </c>
      <c r="E27" s="4"/>
      <c r="F27" s="4"/>
      <c r="G27" s="41">
        <f>'Balance Sheet'!K28</f>
        <v>6511280</v>
      </c>
      <c r="H27" s="41">
        <f>'Balance Sheet'!L28</f>
        <v>7453300.6080000009</v>
      </c>
      <c r="I27" s="41">
        <f>'Balance Sheet'!M28</f>
        <v>9051330.6931200027</v>
      </c>
      <c r="J27" s="41">
        <f>'Balance Sheet'!N28</f>
        <v>10830584.990156805</v>
      </c>
      <c r="K27" s="41">
        <f>'Balance Sheet'!O28</f>
        <v>12907384.888778757</v>
      </c>
      <c r="L27" s="4"/>
      <c r="M27" s="15"/>
    </row>
    <row r="28" spans="2:13" x14ac:dyDescent="0.25">
      <c r="B28" s="12"/>
      <c r="C28" s="4"/>
      <c r="D28" s="4" t="s">
        <v>23</v>
      </c>
      <c r="E28" s="4"/>
      <c r="F28" s="4"/>
      <c r="G28" s="41">
        <f>'Balance Sheet'!K32</f>
        <v>42877213.333333328</v>
      </c>
      <c r="H28" s="41">
        <f>'Balance Sheet'!L32</f>
        <v>65371506.005333342</v>
      </c>
      <c r="I28" s="41">
        <f>'Balance Sheet'!M32</f>
        <v>93202830.243413344</v>
      </c>
      <c r="J28" s="41">
        <f>'Balance Sheet'!N32</f>
        <v>126424243.87482455</v>
      </c>
      <c r="K28" s="41">
        <f>'Balance Sheet'!O32</f>
        <v>166026659.41463336</v>
      </c>
      <c r="L28" s="4"/>
      <c r="M28" s="15"/>
    </row>
    <row r="29" spans="2:13" x14ac:dyDescent="0.25">
      <c r="B29" s="12"/>
      <c r="C29" s="4"/>
      <c r="D29" s="4"/>
      <c r="E29" s="4"/>
      <c r="F29" s="4"/>
      <c r="G29" s="4"/>
      <c r="H29" s="4"/>
      <c r="I29" s="4"/>
      <c r="J29" s="4"/>
      <c r="K29" s="4"/>
      <c r="L29" s="4"/>
      <c r="M29" s="15"/>
    </row>
    <row r="30" spans="2:13" x14ac:dyDescent="0.25">
      <c r="B30" s="12"/>
      <c r="C30" s="7" t="s">
        <v>24</v>
      </c>
      <c r="D30" s="4"/>
      <c r="E30" s="4"/>
      <c r="F30" s="4"/>
      <c r="G30" s="4"/>
      <c r="H30" s="4"/>
      <c r="I30" s="4"/>
      <c r="J30" s="4"/>
      <c r="K30" s="4"/>
      <c r="L30" s="4"/>
      <c r="M30" s="15"/>
    </row>
    <row r="31" spans="2:13" x14ac:dyDescent="0.25">
      <c r="B31" s="12"/>
      <c r="C31" s="4"/>
      <c r="D31" s="4" t="s">
        <v>25</v>
      </c>
      <c r="E31" s="4"/>
      <c r="F31" s="4"/>
      <c r="G31" s="41">
        <f>Cashflow!J14</f>
        <v>21517280</v>
      </c>
      <c r="H31" s="41">
        <f>Cashflow!K14</f>
        <v>30018122.688000008</v>
      </c>
      <c r="I31" s="41">
        <f>Cashflow!L14</f>
        <v>36170442.328320011</v>
      </c>
      <c r="J31" s="41">
        <f>Cashflow!M14</f>
        <v>43157904.254284821</v>
      </c>
      <c r="K31" s="41">
        <f>Cashflow!N14</f>
        <v>51123610.849884696</v>
      </c>
      <c r="L31" s="4"/>
      <c r="M31" s="15"/>
    </row>
    <row r="32" spans="2:13" x14ac:dyDescent="0.25">
      <c r="B32" s="12"/>
      <c r="C32" s="4"/>
      <c r="D32" s="4" t="s">
        <v>26</v>
      </c>
      <c r="E32" s="4"/>
      <c r="F32" s="4"/>
      <c r="G32" s="41">
        <f>Cashflow!J19</f>
        <v>-10000000</v>
      </c>
      <c r="H32" s="41">
        <f>Cashflow!K19</f>
        <v>0</v>
      </c>
      <c r="I32" s="41">
        <f>Cashflow!L19</f>
        <v>0</v>
      </c>
      <c r="J32" s="41">
        <f>Cashflow!M19</f>
        <v>-850000</v>
      </c>
      <c r="K32" s="41">
        <f>Cashflow!N19</f>
        <v>0</v>
      </c>
      <c r="L32" s="4"/>
      <c r="M32" s="15"/>
    </row>
    <row r="33" spans="2:13" x14ac:dyDescent="0.25">
      <c r="B33" s="12"/>
      <c r="C33" s="4"/>
      <c r="D33" s="4" t="s">
        <v>27</v>
      </c>
      <c r="E33" s="4"/>
      <c r="F33" s="4"/>
      <c r="G33" s="41">
        <f>Cashflow!J26</f>
        <v>17537693.333333332</v>
      </c>
      <c r="H33" s="41">
        <f>Cashflow!K26</f>
        <v>-6276080</v>
      </c>
      <c r="I33" s="41">
        <f>Cashflow!L26</f>
        <v>-7184090.688000001</v>
      </c>
      <c r="J33" s="41">
        <f>Cashflow!M26</f>
        <v>-8744431.384320002</v>
      </c>
      <c r="K33" s="41">
        <f>Cashflow!N26</f>
        <v>-10480719.778124806</v>
      </c>
      <c r="L33" s="4"/>
      <c r="M33" s="15"/>
    </row>
    <row r="34" spans="2:13" x14ac:dyDescent="0.25">
      <c r="B34" s="12"/>
      <c r="C34" s="4"/>
      <c r="D34" s="4" t="s">
        <v>28</v>
      </c>
      <c r="E34" s="4"/>
      <c r="F34" s="4"/>
      <c r="G34" s="41">
        <f>Cashflow!J30</f>
        <v>29054973.333333332</v>
      </c>
      <c r="H34" s="41">
        <f>Cashflow!K30</f>
        <v>52797016.021333337</v>
      </c>
      <c r="I34" s="41">
        <f>Cashflow!L30</f>
        <v>81783367.66165334</v>
      </c>
      <c r="J34" s="41">
        <f>Cashflow!M30</f>
        <v>115346840.53161816</v>
      </c>
      <c r="K34" s="41">
        <f>Cashflow!N30</f>
        <v>155989731.60337806</v>
      </c>
      <c r="L34" s="4"/>
      <c r="M34" s="15"/>
    </row>
    <row r="35" spans="2:13" x14ac:dyDescent="0.25">
      <c r="B35" s="12"/>
      <c r="C35" s="4"/>
      <c r="D35" s="4" t="s">
        <v>29</v>
      </c>
      <c r="E35" s="4"/>
      <c r="F35" s="4"/>
      <c r="G35" s="41">
        <f>Valuation!I11</f>
        <v>31517280</v>
      </c>
      <c r="H35" s="41">
        <f>Valuation!J11</f>
        <v>30018122.688000005</v>
      </c>
      <c r="I35" s="41">
        <f>Valuation!K11</f>
        <v>36170442.328320004</v>
      </c>
      <c r="J35" s="41">
        <f>Valuation!L11</f>
        <v>44007904.254284821</v>
      </c>
      <c r="K35" s="41">
        <f>Valuation!M11</f>
        <v>51123610.849884696</v>
      </c>
      <c r="L35" s="4"/>
      <c r="M35" s="15"/>
    </row>
    <row r="36" spans="2:13" x14ac:dyDescent="0.25">
      <c r="B36" s="12"/>
      <c r="C36" s="4"/>
      <c r="D36" s="4"/>
      <c r="E36" s="4"/>
      <c r="F36" s="4"/>
      <c r="G36" s="4"/>
      <c r="H36" s="4"/>
      <c r="I36" s="4"/>
      <c r="J36" s="4"/>
      <c r="K36" s="4"/>
      <c r="L36" s="4"/>
      <c r="M36" s="15"/>
    </row>
    <row r="37" spans="2:13" x14ac:dyDescent="0.25">
      <c r="B37" s="12"/>
      <c r="C37" s="7" t="s">
        <v>30</v>
      </c>
      <c r="D37" s="4"/>
      <c r="E37" s="4"/>
      <c r="F37" s="4"/>
      <c r="G37" s="4"/>
      <c r="H37" s="4"/>
      <c r="I37" s="4"/>
      <c r="J37" s="4"/>
      <c r="K37" s="4"/>
      <c r="L37" s="4"/>
      <c r="M37" s="15"/>
    </row>
    <row r="38" spans="2:13" x14ac:dyDescent="0.25">
      <c r="B38" s="12"/>
      <c r="C38" s="4"/>
      <c r="D38" s="4" t="s">
        <v>31</v>
      </c>
      <c r="E38" s="4"/>
      <c r="F38" s="4"/>
      <c r="G38" s="111">
        <f>'Financial Ratios'!J5</f>
        <v>0.7</v>
      </c>
      <c r="H38" s="111">
        <f>'Financial Ratios'!K5</f>
        <v>0.70000000000000007</v>
      </c>
      <c r="I38" s="111">
        <f>'Financial Ratios'!L5</f>
        <v>0.7</v>
      </c>
      <c r="J38" s="111">
        <f>'Financial Ratios'!M5</f>
        <v>0.70000000000000007</v>
      </c>
      <c r="K38" s="111">
        <f>'Financial Ratios'!N5</f>
        <v>0.7</v>
      </c>
      <c r="L38" s="4"/>
      <c r="M38" s="15"/>
    </row>
    <row r="39" spans="2:13" x14ac:dyDescent="0.25">
      <c r="B39" s="12"/>
      <c r="C39" s="4"/>
      <c r="D39" s="4" t="s">
        <v>32</v>
      </c>
      <c r="E39" s="4"/>
      <c r="F39" s="4"/>
      <c r="G39" s="111">
        <f>'Financial Ratios'!J6</f>
        <v>0.48202097505668934</v>
      </c>
      <c r="H39" s="111">
        <f>'Financial Ratios'!K6</f>
        <v>0.47734067451897771</v>
      </c>
      <c r="I39" s="111">
        <f>'Financial Ratios'!L6</f>
        <v>0.50345673203419083</v>
      </c>
      <c r="J39" s="111">
        <f>'Financial Ratios'!M6</f>
        <v>0.526365554415957</v>
      </c>
      <c r="K39" s="111">
        <f>'Financial Ratios'!N6</f>
        <v>0.54646101264557634</v>
      </c>
      <c r="L39" s="4"/>
      <c r="M39" s="15"/>
    </row>
    <row r="40" spans="2:13" x14ac:dyDescent="0.25">
      <c r="B40" s="12"/>
      <c r="C40" s="4"/>
      <c r="D40" s="4" t="s">
        <v>33</v>
      </c>
      <c r="E40" s="4"/>
      <c r="F40" s="4"/>
      <c r="G40" s="111">
        <f>'Financial Ratios'!J7</f>
        <v>0.44473356009070297</v>
      </c>
      <c r="H40" s="111">
        <f>'Financial Ratios'!K7</f>
        <v>0.44476386605664464</v>
      </c>
      <c r="I40" s="111">
        <f>'Financial Ratios'!L7</f>
        <v>0.47488058426021451</v>
      </c>
      <c r="J40" s="111">
        <f>'Financial Ratios'!M7</f>
        <v>0.49927416891271242</v>
      </c>
      <c r="K40" s="111">
        <f>'Financial Ratios'!N7</f>
        <v>0.52269663939711608</v>
      </c>
      <c r="L40" s="4"/>
      <c r="M40" s="15"/>
    </row>
    <row r="41" spans="2:13" x14ac:dyDescent="0.25">
      <c r="B41" s="12"/>
      <c r="C41" s="4"/>
      <c r="D41" s="4" t="s">
        <v>34</v>
      </c>
      <c r="E41" s="4"/>
      <c r="F41" s="4"/>
      <c r="G41" s="111">
        <f>'Financial Ratios'!J9</f>
        <v>0.69032519445855012</v>
      </c>
      <c r="H41" s="111">
        <f>'Financial Ratios'!K9</f>
        <v>0.49615423259165897</v>
      </c>
      <c r="I41" s="111">
        <f>'Financial Ratios'!L9</f>
        <v>0.41565183893574575</v>
      </c>
      <c r="J41" s="111">
        <f>'Financial Ratios'!M9</f>
        <v>0.36267455773095042</v>
      </c>
      <c r="K41" s="111">
        <f>'Financial Ratios'!N9</f>
        <v>0.3267658780593341</v>
      </c>
      <c r="L41" s="4"/>
      <c r="M41" s="15"/>
    </row>
    <row r="42" spans="2:13" x14ac:dyDescent="0.25">
      <c r="B42" s="12"/>
      <c r="C42" s="4"/>
      <c r="D42" s="4" t="s">
        <v>35</v>
      </c>
      <c r="E42" s="4"/>
      <c r="F42" s="4"/>
      <c r="G42" s="111">
        <f>'Financial Ratios'!J10</f>
        <v>0.58549327366113035</v>
      </c>
      <c r="H42" s="111">
        <f>'Financial Ratios'!K10</f>
        <v>0.43958544797263122</v>
      </c>
      <c r="I42" s="111">
        <f>'Financial Ratios'!L10</f>
        <v>0.37528608783585615</v>
      </c>
      <c r="J42" s="111">
        <f>'Financial Ratios'!M10</f>
        <v>0.33160474468811529</v>
      </c>
      <c r="K42" s="111">
        <f>'Financial Ratios'!N10</f>
        <v>0.30136216897127527</v>
      </c>
      <c r="L42" s="4"/>
      <c r="M42" s="15"/>
    </row>
    <row r="43" spans="2:13" x14ac:dyDescent="0.25">
      <c r="B43" s="12"/>
      <c r="C43" s="4"/>
      <c r="D43" s="4" t="s">
        <v>36</v>
      </c>
      <c r="E43" s="4"/>
      <c r="F43" s="4"/>
      <c r="G43" s="111">
        <f>'Financial Ratios'!J18</f>
        <v>0.84814125047305622</v>
      </c>
      <c r="H43" s="111">
        <f>'Financial Ratios'!K18</f>
        <v>0.88598548414362799</v>
      </c>
      <c r="I43" s="111">
        <f>'Financial Ratios'!L18</f>
        <v>0.90288566699658068</v>
      </c>
      <c r="J43" s="111">
        <f>'Financial Ratios'!M18</f>
        <v>0.91433142363991182</v>
      </c>
      <c r="K43" s="111">
        <f>'Financial Ratios'!N18</f>
        <v>0.92225715475883929</v>
      </c>
      <c r="L43" s="4"/>
      <c r="M43" s="15"/>
    </row>
    <row r="44" spans="2:13" x14ac:dyDescent="0.25">
      <c r="B44" s="12"/>
      <c r="C44" s="4"/>
      <c r="D44" s="4" t="s">
        <v>37</v>
      </c>
      <c r="E44" s="4"/>
      <c r="F44" s="4"/>
      <c r="G44" s="112">
        <f>'Financial Ratios'!J13</f>
        <v>5.3725248082302297</v>
      </c>
      <c r="H44" s="112">
        <f>'Financial Ratios'!K13</f>
        <v>7.9939223089139793</v>
      </c>
      <c r="I44" s="112">
        <f>'Financial Ratios'!L13</f>
        <v>9.8899524587535161</v>
      </c>
      <c r="J44" s="112">
        <f>'Financial Ratios'!M13</f>
        <v>11.464149349981412</v>
      </c>
      <c r="K44" s="112">
        <f>'Financial Ratios'!N13</f>
        <v>12.864004664413741</v>
      </c>
      <c r="L44" s="4"/>
      <c r="M44" s="15"/>
    </row>
    <row r="45" spans="2:13" x14ac:dyDescent="0.25">
      <c r="B45" s="12"/>
      <c r="C45" s="4"/>
      <c r="D45" s="4" t="s">
        <v>38</v>
      </c>
      <c r="E45" s="4"/>
      <c r="F45" s="4"/>
      <c r="G45" s="112">
        <f>'Financial Ratios'!J14</f>
        <v>4.4622521736637539</v>
      </c>
      <c r="H45" s="112">
        <f>'Financial Ratios'!K14</f>
        <v>7.0837094594928391</v>
      </c>
      <c r="I45" s="112">
        <f>'Financial Ratios'!L14</f>
        <v>9.0355076435134123</v>
      </c>
      <c r="J45" s="112">
        <f>'Financial Ratios'!M14</f>
        <v>10.650102523220047</v>
      </c>
      <c r="K45" s="112">
        <f>'Financial Ratios'!N14</f>
        <v>12.085308755222</v>
      </c>
      <c r="L45" s="4"/>
      <c r="M45" s="15"/>
    </row>
    <row r="46" spans="2:13" x14ac:dyDescent="0.25">
      <c r="B46" s="12"/>
      <c r="C46" s="4"/>
      <c r="D46" s="4" t="s">
        <v>39</v>
      </c>
      <c r="E46" s="4"/>
      <c r="F46" s="4"/>
      <c r="G46" s="112">
        <f>'Financial Ratios'!J15</f>
        <v>4.4622521736637548</v>
      </c>
      <c r="H46" s="112">
        <f>'Financial Ratios'!K15</f>
        <v>7.0837094594928391</v>
      </c>
      <c r="I46" s="112">
        <f>'Financial Ratios'!L15</f>
        <v>9.0355076435134123</v>
      </c>
      <c r="J46" s="112">
        <f>'Financial Ratios'!M15</f>
        <v>10.650102523220047</v>
      </c>
      <c r="K46" s="112">
        <f>'Financial Ratios'!N15</f>
        <v>12.085308755222</v>
      </c>
      <c r="L46" s="4"/>
      <c r="M46" s="15"/>
    </row>
    <row r="47" spans="2:13" ht="15.75" thickBot="1" x14ac:dyDescent="0.3">
      <c r="B47" s="12"/>
      <c r="C47" s="4"/>
      <c r="D47" s="4"/>
      <c r="E47" s="4"/>
      <c r="F47" s="4"/>
      <c r="G47" s="4"/>
      <c r="H47" s="4"/>
      <c r="I47" s="4"/>
      <c r="J47" s="4"/>
      <c r="K47" s="4"/>
      <c r="L47" s="4"/>
      <c r="M47" s="15"/>
    </row>
    <row r="48" spans="2:13" ht="15.75" thickTop="1" x14ac:dyDescent="0.25">
      <c r="B48" s="10"/>
      <c r="C48" s="10"/>
      <c r="D48" s="10"/>
      <c r="E48" s="10"/>
      <c r="F48" s="10"/>
      <c r="G48" s="10"/>
      <c r="H48" s="10"/>
      <c r="I48" s="10"/>
      <c r="J48" s="10"/>
      <c r="K48" s="10"/>
      <c r="L48" s="10"/>
      <c r="M48" s="10"/>
    </row>
    <row r="49" spans="2:13" x14ac:dyDescent="0.25">
      <c r="B49" s="4"/>
      <c r="C49" s="4"/>
      <c r="D49" s="4"/>
      <c r="E49" s="4"/>
      <c r="F49" s="4"/>
      <c r="G49" s="4"/>
      <c r="H49" s="4"/>
      <c r="I49" s="4"/>
      <c r="J49" s="4"/>
      <c r="K49" s="4"/>
      <c r="L49" s="4"/>
      <c r="M49" s="4"/>
    </row>
    <row r="50" spans="2:13" x14ac:dyDescent="0.25">
      <c r="B50" s="4"/>
      <c r="C50" s="4"/>
      <c r="D50" s="4"/>
      <c r="E50" s="4"/>
      <c r="F50" s="4"/>
      <c r="G50" s="4"/>
      <c r="H50" s="4"/>
      <c r="I50" s="4"/>
      <c r="J50" s="4"/>
      <c r="K50" s="4"/>
      <c r="L50" s="4"/>
      <c r="M50" s="4"/>
    </row>
    <row r="51" spans="2:13" x14ac:dyDescent="0.25">
      <c r="B51" s="4"/>
      <c r="C51" s="4"/>
      <c r="D51" s="4"/>
      <c r="E51" s="4"/>
      <c r="F51" s="4"/>
      <c r="G51" s="4"/>
      <c r="H51" s="4"/>
      <c r="I51" s="4"/>
      <c r="J51" s="4"/>
      <c r="K51" s="4"/>
      <c r="L51" s="4"/>
      <c r="M51" s="4"/>
    </row>
    <row r="52" spans="2:13" x14ac:dyDescent="0.25">
      <c r="B52" s="4"/>
      <c r="C52" s="4"/>
      <c r="D52" s="4"/>
      <c r="E52" s="4"/>
      <c r="F52" s="4"/>
      <c r="G52" s="4"/>
      <c r="H52" s="4"/>
      <c r="I52" s="4"/>
      <c r="J52" s="4"/>
      <c r="K52" s="4"/>
      <c r="L52" s="4"/>
      <c r="M52" s="4"/>
    </row>
    <row r="53" spans="2:13" x14ac:dyDescent="0.25">
      <c r="B53" s="4"/>
      <c r="C53" s="4"/>
      <c r="D53" s="4"/>
      <c r="E53" s="4"/>
      <c r="F53" s="4"/>
      <c r="G53" s="4"/>
      <c r="H53" s="4"/>
      <c r="I53" s="4"/>
      <c r="J53" s="4"/>
      <c r="K53" s="4"/>
      <c r="L53" s="4"/>
      <c r="M53" s="4"/>
    </row>
    <row r="54" spans="2:13" x14ac:dyDescent="0.25">
      <c r="B54" s="4"/>
      <c r="C54" s="4"/>
      <c r="D54" s="4"/>
      <c r="E54" s="4"/>
      <c r="F54" s="4"/>
      <c r="G54" s="4"/>
      <c r="H54" s="4"/>
      <c r="I54" s="4"/>
      <c r="J54" s="4"/>
      <c r="K54" s="4"/>
      <c r="L54" s="4"/>
      <c r="M54" s="4"/>
    </row>
    <row r="55" spans="2:13" x14ac:dyDescent="0.25">
      <c r="B55" s="4"/>
      <c r="C55" s="4"/>
      <c r="D55" s="4"/>
      <c r="E55" s="4"/>
      <c r="F55" s="4"/>
      <c r="G55" s="4"/>
      <c r="H55" s="4"/>
      <c r="I55" s="4"/>
      <c r="J55" s="4"/>
      <c r="K55" s="4"/>
      <c r="L55" s="4"/>
      <c r="M55" s="4"/>
    </row>
    <row r="56" spans="2:13" x14ac:dyDescent="0.25">
      <c r="B56" s="4"/>
      <c r="C56" s="4"/>
      <c r="D56" s="4"/>
      <c r="E56" s="4"/>
      <c r="F56" s="4"/>
      <c r="G56" s="4"/>
      <c r="H56" s="4"/>
      <c r="I56" s="4"/>
      <c r="J56" s="4"/>
      <c r="K56" s="4"/>
      <c r="L56" s="4"/>
      <c r="M56" s="4"/>
    </row>
    <row r="57" spans="2:13" x14ac:dyDescent="0.25">
      <c r="B57" s="4"/>
      <c r="C57" s="4"/>
      <c r="D57" s="4"/>
      <c r="E57" s="4"/>
      <c r="F57" s="4"/>
      <c r="G57" s="4"/>
      <c r="H57" s="4"/>
      <c r="I57" s="4"/>
      <c r="J57" s="4"/>
      <c r="K57" s="4"/>
      <c r="L57" s="4"/>
      <c r="M57" s="4"/>
    </row>
    <row r="58" spans="2:13" x14ac:dyDescent="0.25">
      <c r="B58" s="4"/>
      <c r="C58" s="4"/>
      <c r="D58" s="4"/>
      <c r="E58" s="4"/>
      <c r="F58" s="4"/>
      <c r="G58" s="4"/>
      <c r="H58" s="4"/>
      <c r="I58" s="4"/>
      <c r="J58" s="4"/>
      <c r="K58" s="4"/>
      <c r="L58" s="4"/>
      <c r="M58" s="4"/>
    </row>
    <row r="59" spans="2:13" x14ac:dyDescent="0.25">
      <c r="B59" s="4"/>
      <c r="C59" s="4"/>
      <c r="D59" s="4"/>
      <c r="E59" s="4"/>
      <c r="F59" s="4"/>
      <c r="G59" s="4"/>
      <c r="H59" s="4"/>
      <c r="I59" s="4"/>
      <c r="J59" s="4"/>
      <c r="K59" s="4"/>
      <c r="L59" s="4"/>
      <c r="M59" s="4"/>
    </row>
    <row r="60" spans="2:13" x14ac:dyDescent="0.25">
      <c r="B60" s="4"/>
      <c r="C60" s="4"/>
      <c r="D60" s="4"/>
      <c r="E60" s="4"/>
      <c r="F60" s="4"/>
      <c r="G60" s="4"/>
      <c r="H60" s="4"/>
      <c r="I60" s="4"/>
      <c r="J60" s="4"/>
      <c r="K60" s="4"/>
      <c r="L60" s="4"/>
      <c r="M60" s="4"/>
    </row>
    <row r="61" spans="2:13" x14ac:dyDescent="0.25">
      <c r="B61" s="4"/>
      <c r="C61" s="4"/>
      <c r="D61" s="4"/>
      <c r="E61" s="4"/>
      <c r="F61" s="4"/>
      <c r="G61" s="4"/>
      <c r="H61" s="4"/>
      <c r="I61" s="4"/>
      <c r="J61" s="4"/>
      <c r="K61" s="4"/>
      <c r="L61" s="4"/>
      <c r="M61" s="4"/>
    </row>
    <row r="62" spans="2:13" x14ac:dyDescent="0.25">
      <c r="B62" s="4"/>
      <c r="C62" s="4"/>
      <c r="D62" s="4"/>
      <c r="E62" s="4"/>
      <c r="F62" s="4"/>
      <c r="G62" s="4"/>
      <c r="H62" s="4"/>
      <c r="I62" s="4"/>
      <c r="J62" s="4"/>
      <c r="K62" s="4"/>
      <c r="L62" s="4"/>
      <c r="M62" s="4"/>
    </row>
    <row r="63" spans="2:13" x14ac:dyDescent="0.25">
      <c r="B63" s="4"/>
      <c r="C63" s="4"/>
      <c r="D63" s="4"/>
      <c r="E63" s="4"/>
      <c r="F63" s="4"/>
      <c r="G63" s="4"/>
      <c r="H63" s="4"/>
      <c r="I63" s="4"/>
      <c r="J63" s="4"/>
      <c r="K63" s="4"/>
      <c r="L63" s="4"/>
      <c r="M63" s="4"/>
    </row>
    <row r="64" spans="2:13" x14ac:dyDescent="0.25">
      <c r="B64" s="4"/>
      <c r="C64" s="4"/>
      <c r="D64" s="4"/>
      <c r="E64" s="4"/>
      <c r="F64" s="4"/>
      <c r="G64" s="4"/>
      <c r="H64" s="4"/>
      <c r="I64" s="4"/>
      <c r="J64" s="4"/>
      <c r="K64" s="4"/>
      <c r="L64" s="4"/>
      <c r="M64" s="4"/>
    </row>
    <row r="65" spans="2:13" x14ac:dyDescent="0.25">
      <c r="B65" s="4"/>
      <c r="C65" s="4"/>
      <c r="D65" s="4"/>
      <c r="E65" s="4"/>
      <c r="F65" s="4"/>
      <c r="G65" s="4"/>
      <c r="H65" s="4"/>
      <c r="I65" s="4"/>
      <c r="J65" s="4"/>
      <c r="K65" s="4"/>
      <c r="L65" s="4"/>
      <c r="M65" s="4"/>
    </row>
    <row r="66" spans="2:13" x14ac:dyDescent="0.25">
      <c r="B66" s="4"/>
      <c r="C66" s="4"/>
      <c r="D66" s="4"/>
      <c r="E66" s="4"/>
      <c r="F66" s="4"/>
      <c r="G66" s="4"/>
      <c r="H66" s="4"/>
      <c r="I66" s="4"/>
      <c r="J66" s="4"/>
      <c r="K66" s="4"/>
      <c r="L66" s="4"/>
      <c r="M66" s="4"/>
    </row>
    <row r="67" spans="2:13" x14ac:dyDescent="0.25">
      <c r="B67" s="4"/>
      <c r="C67" s="4"/>
      <c r="D67" s="4"/>
      <c r="E67" s="4"/>
      <c r="F67" s="4"/>
      <c r="G67" s="4"/>
      <c r="H67" s="4"/>
      <c r="I67" s="4"/>
      <c r="J67" s="4"/>
      <c r="K67" s="4"/>
      <c r="L67" s="4"/>
      <c r="M67" s="4"/>
    </row>
    <row r="68" spans="2:13" x14ac:dyDescent="0.25">
      <c r="B68" s="4"/>
      <c r="C68" s="4"/>
      <c r="D68" s="4"/>
      <c r="E68" s="4"/>
      <c r="F68" s="4"/>
      <c r="G68" s="4"/>
      <c r="H68" s="4"/>
      <c r="I68" s="4"/>
      <c r="J68" s="4"/>
      <c r="K68" s="4"/>
      <c r="L68" s="4"/>
      <c r="M68" s="4"/>
    </row>
    <row r="69" spans="2:13" x14ac:dyDescent="0.25">
      <c r="B69" s="4"/>
      <c r="C69" s="4"/>
      <c r="D69" s="4"/>
      <c r="E69" s="4"/>
      <c r="F69" s="4"/>
      <c r="G69" s="4"/>
      <c r="H69" s="4"/>
      <c r="I69" s="4"/>
      <c r="J69" s="4"/>
      <c r="K69" s="4"/>
      <c r="L69" s="4"/>
      <c r="M69" s="4"/>
    </row>
    <row r="70" spans="2:13" x14ac:dyDescent="0.25">
      <c r="B70" s="4"/>
      <c r="C70" s="4"/>
      <c r="D70" s="4"/>
      <c r="E70" s="4"/>
      <c r="F70" s="4"/>
      <c r="G70" s="4"/>
      <c r="H70" s="4"/>
      <c r="I70" s="4"/>
      <c r="J70" s="4"/>
      <c r="K70" s="4"/>
      <c r="L70" s="4"/>
      <c r="M70" s="4"/>
    </row>
    <row r="71" spans="2:13" x14ac:dyDescent="0.25">
      <c r="B71" s="4"/>
      <c r="C71" s="4"/>
      <c r="D71" s="4"/>
      <c r="E71" s="4"/>
      <c r="F71" s="4"/>
      <c r="G71" s="4"/>
      <c r="H71" s="4"/>
      <c r="I71" s="4"/>
      <c r="J71" s="4"/>
      <c r="K71" s="4"/>
      <c r="L71" s="4"/>
      <c r="M71" s="4"/>
    </row>
    <row r="72" spans="2:13" x14ac:dyDescent="0.25">
      <c r="B72" s="4"/>
      <c r="C72" s="4"/>
      <c r="D72" s="4"/>
      <c r="E72" s="4"/>
      <c r="F72" s="4"/>
      <c r="G72" s="4"/>
      <c r="H72" s="4"/>
      <c r="I72" s="4"/>
      <c r="J72" s="4"/>
      <c r="K72" s="4"/>
      <c r="L72" s="4"/>
      <c r="M72" s="4"/>
    </row>
    <row r="73" spans="2:13" x14ac:dyDescent="0.25">
      <c r="B73" s="4"/>
      <c r="C73" s="4"/>
      <c r="D73" s="4"/>
      <c r="E73" s="4"/>
      <c r="F73" s="4"/>
      <c r="G73" s="4"/>
      <c r="H73" s="4"/>
      <c r="I73" s="4"/>
      <c r="J73" s="4"/>
      <c r="K73" s="4"/>
      <c r="L73" s="4"/>
      <c r="M73" s="4"/>
    </row>
    <row r="74" spans="2:13" x14ac:dyDescent="0.25">
      <c r="B74" s="4"/>
      <c r="C74" s="4"/>
      <c r="D74" s="4"/>
      <c r="E74" s="4"/>
      <c r="F74" s="4"/>
      <c r="G74" s="4"/>
      <c r="H74" s="4"/>
      <c r="I74" s="4"/>
      <c r="J74" s="4"/>
      <c r="K74" s="4"/>
      <c r="L74" s="4"/>
      <c r="M74" s="4"/>
    </row>
    <row r="75" spans="2:13" x14ac:dyDescent="0.25">
      <c r="B75" s="4"/>
      <c r="C75" s="4"/>
      <c r="D75" s="4"/>
      <c r="E75" s="4"/>
      <c r="F75" s="4"/>
      <c r="G75" s="4"/>
      <c r="H75" s="4"/>
      <c r="I75" s="4"/>
      <c r="J75" s="4"/>
      <c r="K75" s="4"/>
      <c r="L75" s="4"/>
      <c r="M75" s="4"/>
    </row>
    <row r="76" spans="2:13" x14ac:dyDescent="0.25">
      <c r="B76" s="4"/>
      <c r="C76" s="4"/>
      <c r="D76" s="4"/>
      <c r="E76" s="4"/>
      <c r="F76" s="4"/>
      <c r="G76" s="4"/>
      <c r="H76" s="4"/>
      <c r="I76" s="4"/>
      <c r="J76" s="4"/>
      <c r="K76" s="4"/>
      <c r="L76" s="4"/>
      <c r="M76" s="4"/>
    </row>
    <row r="77" spans="2:13" x14ac:dyDescent="0.25">
      <c r="B77" s="4"/>
      <c r="C77" s="4"/>
      <c r="D77" s="4"/>
      <c r="E77" s="4"/>
      <c r="F77" s="4"/>
      <c r="G77" s="4"/>
      <c r="H77" s="4"/>
      <c r="I77" s="4"/>
      <c r="J77" s="4"/>
      <c r="K77" s="4"/>
      <c r="L77" s="4"/>
      <c r="M77" s="4"/>
    </row>
    <row r="78" spans="2:13" x14ac:dyDescent="0.25">
      <c r="B78" s="4"/>
      <c r="C78" s="4"/>
      <c r="D78" s="4"/>
      <c r="E78" s="4"/>
      <c r="F78" s="4"/>
      <c r="G78" s="4"/>
      <c r="H78" s="4"/>
      <c r="I78" s="4"/>
      <c r="J78" s="4"/>
      <c r="K78" s="4"/>
      <c r="L78" s="4"/>
      <c r="M78" s="4"/>
    </row>
    <row r="79" spans="2:13" x14ac:dyDescent="0.25">
      <c r="B79" s="4"/>
      <c r="C79" s="4"/>
      <c r="D79" s="4"/>
      <c r="E79" s="4"/>
      <c r="F79" s="4"/>
      <c r="G79" s="4"/>
      <c r="H79" s="4"/>
      <c r="I79" s="4"/>
      <c r="J79" s="4"/>
      <c r="K79" s="4"/>
      <c r="L79" s="4"/>
      <c r="M79" s="4"/>
    </row>
    <row r="80" spans="2:13" x14ac:dyDescent="0.25">
      <c r="B80" s="4"/>
      <c r="C80" s="4"/>
      <c r="D80" s="4"/>
      <c r="E80" s="4"/>
      <c r="F80" s="4"/>
      <c r="G80" s="4"/>
      <c r="H80" s="4"/>
      <c r="I80" s="4"/>
      <c r="J80" s="4"/>
      <c r="K80" s="4"/>
      <c r="L80" s="4"/>
      <c r="M80" s="4"/>
    </row>
    <row r="81" spans="2:13" x14ac:dyDescent="0.25">
      <c r="B81" s="4"/>
      <c r="C81" s="4"/>
      <c r="D81" s="4"/>
      <c r="E81" s="4"/>
      <c r="F81" s="4"/>
      <c r="G81" s="4"/>
      <c r="H81" s="4"/>
      <c r="I81" s="4"/>
      <c r="J81" s="4"/>
      <c r="K81" s="4"/>
      <c r="L81" s="4"/>
      <c r="M81" s="4"/>
    </row>
    <row r="82" spans="2:13" x14ac:dyDescent="0.25">
      <c r="B82" s="4"/>
      <c r="C82" s="4"/>
      <c r="D82" s="4"/>
      <c r="E82" s="4"/>
      <c r="F82" s="4"/>
      <c r="G82" s="4"/>
      <c r="H82" s="4"/>
      <c r="I82" s="4"/>
      <c r="J82" s="4"/>
      <c r="K82" s="4"/>
      <c r="L82" s="4"/>
      <c r="M82" s="4"/>
    </row>
    <row r="83" spans="2:13" x14ac:dyDescent="0.25">
      <c r="B83" s="4"/>
      <c r="C83" s="4"/>
      <c r="D83" s="4"/>
      <c r="E83" s="4"/>
      <c r="F83" s="4"/>
      <c r="G83" s="4"/>
      <c r="H83" s="4"/>
      <c r="I83" s="4"/>
      <c r="J83" s="4"/>
      <c r="K83" s="4"/>
      <c r="L83" s="4"/>
      <c r="M83" s="4"/>
    </row>
    <row r="84" spans="2:13" x14ac:dyDescent="0.25">
      <c r="B84" s="4"/>
      <c r="C84" s="4"/>
      <c r="D84" s="4"/>
      <c r="E84" s="4"/>
      <c r="F84" s="4"/>
      <c r="G84" s="4"/>
      <c r="H84" s="4"/>
      <c r="I84" s="4"/>
      <c r="J84" s="4"/>
      <c r="K84" s="4"/>
      <c r="L84" s="4"/>
      <c r="M84" s="4"/>
    </row>
    <row r="85" spans="2:13" x14ac:dyDescent="0.25">
      <c r="B85" s="4"/>
      <c r="C85" s="4"/>
      <c r="D85" s="4"/>
      <c r="E85" s="4"/>
      <c r="F85" s="4"/>
      <c r="G85" s="4"/>
      <c r="H85" s="4"/>
      <c r="I85" s="4"/>
      <c r="J85" s="4"/>
      <c r="K85" s="4"/>
      <c r="L85" s="4"/>
      <c r="M85" s="4"/>
    </row>
    <row r="86" spans="2:13" x14ac:dyDescent="0.25">
      <c r="B86" s="4"/>
      <c r="C86" s="4"/>
      <c r="D86" s="4"/>
      <c r="E86" s="4"/>
      <c r="F86" s="4"/>
      <c r="G86" s="4"/>
      <c r="H86" s="4"/>
      <c r="I86" s="4"/>
      <c r="J86" s="4"/>
      <c r="K86" s="4"/>
      <c r="L86" s="4"/>
      <c r="M86" s="4"/>
    </row>
    <row r="87" spans="2:13" x14ac:dyDescent="0.25">
      <c r="B87" s="4"/>
      <c r="C87" s="4"/>
      <c r="D87" s="4"/>
      <c r="E87" s="4"/>
      <c r="F87" s="4"/>
      <c r="G87" s="4"/>
      <c r="H87" s="4"/>
      <c r="I87" s="4"/>
      <c r="J87" s="4"/>
      <c r="K87" s="4"/>
      <c r="L87" s="4"/>
      <c r="M87" s="4"/>
    </row>
    <row r="88" spans="2:13" x14ac:dyDescent="0.25">
      <c r="B88" s="4"/>
      <c r="C88" s="4"/>
      <c r="D88" s="4"/>
      <c r="E88" s="4"/>
      <c r="F88" s="4"/>
      <c r="G88" s="4"/>
      <c r="H88" s="4"/>
      <c r="I88" s="4"/>
      <c r="J88" s="4"/>
      <c r="K88" s="4"/>
      <c r="L88" s="4"/>
      <c r="M88" s="4"/>
    </row>
    <row r="89" spans="2:13" x14ac:dyDescent="0.25">
      <c r="B89" s="4"/>
      <c r="C89" s="4"/>
      <c r="D89" s="4"/>
      <c r="E89" s="4"/>
      <c r="F89" s="4"/>
      <c r="G89" s="4"/>
      <c r="H89" s="4"/>
      <c r="I89" s="4"/>
      <c r="J89" s="4"/>
      <c r="K89" s="4"/>
      <c r="L89" s="4"/>
      <c r="M89" s="4"/>
    </row>
    <row r="90" spans="2:13" x14ac:dyDescent="0.25">
      <c r="B90" s="4"/>
      <c r="C90" s="4"/>
      <c r="D90" s="4"/>
      <c r="E90" s="4"/>
      <c r="F90" s="4"/>
      <c r="G90" s="4"/>
      <c r="H90" s="4"/>
      <c r="I90" s="4"/>
      <c r="J90" s="4"/>
      <c r="K90" s="4"/>
      <c r="L90" s="4"/>
      <c r="M90" s="4"/>
    </row>
    <row r="91" spans="2:13" x14ac:dyDescent="0.25">
      <c r="B91" s="4"/>
      <c r="C91" s="4"/>
      <c r="D91" s="4"/>
      <c r="E91" s="4"/>
      <c r="F91" s="4"/>
      <c r="G91" s="4"/>
      <c r="H91" s="4"/>
      <c r="I91" s="4"/>
      <c r="J91" s="4"/>
      <c r="K91" s="4"/>
      <c r="L91" s="4"/>
      <c r="M91" s="4"/>
    </row>
    <row r="92" spans="2:13" x14ac:dyDescent="0.25">
      <c r="B92" s="4"/>
      <c r="C92" s="4"/>
      <c r="D92" s="4"/>
      <c r="E92" s="4"/>
      <c r="F92" s="4"/>
      <c r="G92" s="4"/>
      <c r="H92" s="4"/>
      <c r="I92" s="4"/>
      <c r="J92" s="4"/>
      <c r="K92" s="4"/>
      <c r="L92" s="4"/>
      <c r="M92" s="4"/>
    </row>
    <row r="93" spans="2:13" x14ac:dyDescent="0.25">
      <c r="B93" s="4"/>
      <c r="C93" s="4"/>
      <c r="D93" s="4"/>
      <c r="E93" s="4"/>
      <c r="F93" s="4"/>
      <c r="G93" s="4"/>
      <c r="H93" s="4"/>
      <c r="I93" s="4"/>
      <c r="J93" s="4"/>
      <c r="K93" s="4"/>
      <c r="L93" s="4"/>
      <c r="M93" s="4"/>
    </row>
    <row r="94" spans="2:13" x14ac:dyDescent="0.25">
      <c r="B94" s="4"/>
      <c r="C94" s="4"/>
      <c r="D94" s="4"/>
      <c r="E94" s="4"/>
      <c r="F94" s="4"/>
      <c r="G94" s="4"/>
      <c r="H94" s="4"/>
      <c r="I94" s="4"/>
      <c r="J94" s="4"/>
      <c r="K94" s="4"/>
      <c r="L94" s="4"/>
      <c r="M94" s="4"/>
    </row>
    <row r="95" spans="2:13" x14ac:dyDescent="0.25">
      <c r="B95" s="4"/>
      <c r="C95" s="4"/>
      <c r="D95" s="4"/>
      <c r="E95" s="4"/>
      <c r="F95" s="4"/>
      <c r="G95" s="4"/>
      <c r="H95" s="4"/>
      <c r="I95" s="4"/>
      <c r="J95" s="4"/>
      <c r="K95" s="4"/>
      <c r="L95" s="4"/>
      <c r="M95" s="4"/>
    </row>
    <row r="96" spans="2:13" x14ac:dyDescent="0.25">
      <c r="B96" s="4"/>
      <c r="C96" s="4"/>
      <c r="D96" s="4"/>
      <c r="E96" s="4"/>
      <c r="F96" s="4"/>
      <c r="G96" s="4"/>
      <c r="H96" s="4"/>
      <c r="I96" s="4"/>
      <c r="J96" s="4"/>
      <c r="K96" s="4"/>
      <c r="L96" s="4"/>
      <c r="M96" s="4"/>
    </row>
    <row r="97" spans="2:13" x14ac:dyDescent="0.25">
      <c r="B97" s="4"/>
      <c r="C97" s="4"/>
      <c r="D97" s="4"/>
      <c r="E97" s="4"/>
      <c r="F97" s="4"/>
      <c r="G97" s="4"/>
      <c r="H97" s="4"/>
      <c r="I97" s="4"/>
      <c r="J97" s="4"/>
      <c r="K97" s="4"/>
      <c r="L97" s="4"/>
      <c r="M97" s="4"/>
    </row>
    <row r="98" spans="2:13" x14ac:dyDescent="0.25">
      <c r="B98" s="4"/>
      <c r="C98" s="4"/>
      <c r="D98" s="4"/>
      <c r="E98" s="4"/>
      <c r="F98" s="4"/>
      <c r="G98" s="4"/>
      <c r="H98" s="4"/>
      <c r="I98" s="4"/>
      <c r="J98" s="4"/>
      <c r="K98" s="4"/>
      <c r="L98" s="4"/>
      <c r="M98" s="4"/>
    </row>
    <row r="99" spans="2:13" x14ac:dyDescent="0.25">
      <c r="B99" s="4"/>
      <c r="C99" s="4"/>
      <c r="D99" s="4"/>
      <c r="E99" s="4"/>
      <c r="F99" s="4"/>
      <c r="G99" s="4"/>
      <c r="H99" s="4"/>
      <c r="I99" s="4"/>
      <c r="J99" s="4"/>
      <c r="K99" s="4"/>
      <c r="L99" s="4"/>
      <c r="M99" s="4"/>
    </row>
    <row r="100" spans="2:13" x14ac:dyDescent="0.25">
      <c r="B100" s="4"/>
      <c r="C100" s="4"/>
      <c r="D100" s="4"/>
      <c r="E100" s="4"/>
      <c r="F100" s="4"/>
      <c r="G100" s="4"/>
      <c r="H100" s="4"/>
      <c r="I100" s="4"/>
      <c r="J100" s="4"/>
      <c r="K100" s="4"/>
      <c r="L100" s="4"/>
      <c r="M100" s="4"/>
    </row>
    <row r="101" spans="2:13" x14ac:dyDescent="0.25">
      <c r="B101" s="4"/>
      <c r="C101" s="4"/>
      <c r="D101" s="4"/>
      <c r="E101" s="4"/>
      <c r="F101" s="4"/>
      <c r="G101" s="4"/>
      <c r="H101" s="4"/>
      <c r="I101" s="4"/>
      <c r="J101" s="4"/>
      <c r="K101" s="4"/>
      <c r="L101" s="4"/>
      <c r="M101" s="4"/>
    </row>
    <row r="102" spans="2:13" x14ac:dyDescent="0.25">
      <c r="B102" s="4"/>
      <c r="C102" s="4"/>
      <c r="D102" s="4"/>
      <c r="E102" s="4"/>
      <c r="F102" s="4"/>
      <c r="G102" s="4"/>
      <c r="H102" s="4"/>
      <c r="I102" s="4"/>
      <c r="J102" s="4"/>
      <c r="K102" s="4"/>
      <c r="L102" s="4"/>
      <c r="M102" s="4"/>
    </row>
    <row r="103" spans="2:13" x14ac:dyDescent="0.25">
      <c r="B103" s="4"/>
      <c r="C103" s="4"/>
      <c r="D103" s="4"/>
      <c r="E103" s="4"/>
      <c r="F103" s="4"/>
      <c r="G103" s="4"/>
      <c r="H103" s="4"/>
      <c r="I103" s="4"/>
      <c r="J103" s="4"/>
      <c r="K103" s="4"/>
      <c r="L103" s="4"/>
      <c r="M103" s="4"/>
    </row>
    <row r="104" spans="2:13" x14ac:dyDescent="0.25">
      <c r="B104" s="4"/>
      <c r="C104" s="4"/>
      <c r="D104" s="4"/>
      <c r="E104" s="4"/>
      <c r="F104" s="4"/>
      <c r="G104" s="4"/>
      <c r="H104" s="4"/>
      <c r="I104" s="4"/>
      <c r="J104" s="4"/>
      <c r="K104" s="4"/>
      <c r="L104" s="4"/>
      <c r="M104" s="4"/>
    </row>
    <row r="105" spans="2:13" x14ac:dyDescent="0.25">
      <c r="B105" s="4"/>
      <c r="C105" s="4"/>
      <c r="D105" s="4"/>
      <c r="E105" s="4"/>
      <c r="F105" s="4"/>
      <c r="G105" s="4"/>
      <c r="H105" s="4"/>
      <c r="I105" s="4"/>
      <c r="J105" s="4"/>
      <c r="K105" s="4"/>
      <c r="L105" s="4"/>
      <c r="M105" s="4"/>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049" r:id="rId3" name="Drop Down 1">
              <controlPr defaultSize="0" autoLine="0" autoPict="0">
                <anchor moveWithCells="1">
                  <from>
                    <xdr:col>1</xdr:col>
                    <xdr:colOff>533400</xdr:colOff>
                    <xdr:row>0</xdr:row>
                    <xdr:rowOff>38100</xdr:rowOff>
                  </from>
                  <to>
                    <xdr:col>3</xdr:col>
                    <xdr:colOff>371475</xdr:colOff>
                    <xdr:row>0</xdr:row>
                    <xdr:rowOff>190500</xdr:rowOff>
                  </to>
                </anchor>
              </controlPr>
            </control>
          </mc:Choice>
        </mc:AlternateContent>
      </controls>
    </mc:Choice>
  </mc:AlternateContent>
  <extLst>
    <ext xmlns:x14="http://schemas.microsoft.com/office/spreadsheetml/2009/9/main" uri="{05C60535-1F16-4fd2-B633-F4F36F0B64E0}">
      <x14:sparklineGroups xmlns:xm="http://schemas.microsoft.com/office/excel/2006/main">
        <x14:sparklineGroup manualMax="0" manualMin="0" displayEmptyCellsAs="gap">
          <x14:colorSeries rgb="FF376092"/>
          <x14:colorNegative rgb="FFD00000"/>
          <x14:colorAxis rgb="FF000000"/>
          <x14:colorMarkers rgb="FFD00000"/>
          <x14:colorFirst rgb="FFD00000"/>
          <x14:colorLast rgb="FFD00000"/>
          <x14:colorHigh rgb="FFD00000"/>
          <x14:colorLow rgb="FFD00000"/>
          <x14:sparklines>
            <x14:sparkline>
              <xm:f>' Summary'!G12:K12</xm:f>
              <xm:sqref>L12</xm:sqref>
            </x14:sparkline>
            <x14:sparkline>
              <xm:f>' Summary'!G13:K13</xm:f>
              <xm:sqref>L13</xm:sqref>
            </x14:sparkline>
            <x14:sparkline>
              <xm:f>' Summary'!G14:K14</xm:f>
              <xm:sqref>L14</xm:sqref>
            </x14:sparkline>
            <x14:sparkline>
              <xm:f>' Summary'!G15:K15</xm:f>
              <xm:sqref>L15</xm:sqref>
            </x14:sparkline>
            <x14:sparkline>
              <xm:f>' Summary'!G16:K16</xm:f>
              <xm:sqref>L16</xm:sqref>
            </x14:sparkline>
            <x14:sparkline>
              <xm:f>' Summary'!G17:K17</xm:f>
              <xm:sqref>L17</xm:sqref>
            </x14:sparkline>
            <x14:sparkline>
              <xm:f>' Summary'!G18:K18</xm:f>
              <xm:sqref>L18</xm:sqref>
            </x14:sparkline>
          </x14:sparklines>
        </x14:sparklineGroup>
        <x14:sparklineGroup manualMax="0" manualMin="0" displayEmptyCellsAs="gap">
          <x14:colorSeries rgb="FF376092"/>
          <x14:colorNegative rgb="FFD00000"/>
          <x14:colorAxis rgb="FF000000"/>
          <x14:colorMarkers rgb="FFD00000"/>
          <x14:colorFirst rgb="FFD00000"/>
          <x14:colorLast rgb="FFD00000"/>
          <x14:colorHigh rgb="FFD00000"/>
          <x14:colorLow rgb="FFD00000"/>
          <x14:sparklines>
            <x14:sparkline>
              <xm:f>' Summary'!G21:K21</xm:f>
              <xm:sqref>L21</xm:sqref>
            </x14:sparkline>
            <x14:sparkline>
              <xm:f>' Summary'!G22:K22</xm:f>
              <xm:sqref>L22</xm:sqref>
            </x14:sparkline>
            <x14:sparkline>
              <xm:f>' Summary'!G23:K23</xm:f>
              <xm:sqref>L23</xm:sqref>
            </x14:sparkline>
            <x14:sparkline>
              <xm:f>' Summary'!G24:K24</xm:f>
              <xm:sqref>L24</xm:sqref>
            </x14:sparkline>
            <x14:sparkline>
              <xm:f>' Summary'!G25:K25</xm:f>
              <xm:sqref>L25</xm:sqref>
            </x14:sparkline>
            <x14:sparkline>
              <xm:f>' Summary'!G26:K26</xm:f>
              <xm:sqref>L26</xm:sqref>
            </x14:sparkline>
            <x14:sparkline>
              <xm:f>' Summary'!G27:K27</xm:f>
              <xm:sqref>L27</xm:sqref>
            </x14:sparkline>
            <x14:sparkline>
              <xm:f>' Summary'!G28:K28</xm:f>
              <xm:sqref>L28</xm:sqref>
            </x14:sparkline>
            <x14:sparkline>
              <xm:f>' Summary'!G29:K29</xm:f>
              <xm:sqref>L29</xm:sqref>
            </x14:sparkline>
            <x14:sparkline>
              <xm:f>' Summary'!G30:K30</xm:f>
              <xm:sqref>L30</xm:sqref>
            </x14:sparkline>
            <x14:sparkline>
              <xm:f>' Summary'!G31:K31</xm:f>
              <xm:sqref>L31</xm:sqref>
            </x14:sparkline>
            <x14:sparkline>
              <xm:f>' Summary'!G32:K32</xm:f>
              <xm:sqref>L32</xm:sqref>
            </x14:sparkline>
            <x14:sparkline>
              <xm:f>' Summary'!G33:K33</xm:f>
              <xm:sqref>L33</xm:sqref>
            </x14:sparkline>
            <x14:sparkline>
              <xm:f>' Summary'!G34:K34</xm:f>
              <xm:sqref>L34</xm:sqref>
            </x14:sparkline>
            <x14:sparkline>
              <xm:f>' Summary'!G35:K35</xm:f>
              <xm:sqref>L35</xm:sqref>
            </x14:sparkline>
            <x14:sparkline>
              <xm:f>' Summary'!G36:K36</xm:f>
              <xm:sqref>L36</xm:sqref>
            </x14:sparkline>
            <x14:sparkline>
              <xm:f>' Summary'!G37:K37</xm:f>
              <xm:sqref>L37</xm:sqref>
            </x14:sparkline>
            <x14:sparkline>
              <xm:f>' Summary'!G38:K38</xm:f>
              <xm:sqref>L38</xm:sqref>
            </x14:sparkline>
            <x14:sparkline>
              <xm:f>' Summary'!G39:K39</xm:f>
              <xm:sqref>L39</xm:sqref>
            </x14:sparkline>
            <x14:sparkline>
              <xm:f>' Summary'!G40:K40</xm:f>
              <xm:sqref>L40</xm:sqref>
            </x14:sparkline>
            <x14:sparkline>
              <xm:f>' Summary'!G41:K41</xm:f>
              <xm:sqref>L41</xm:sqref>
            </x14:sparkline>
            <x14:sparkline>
              <xm:f>' Summary'!G42:K42</xm:f>
              <xm:sqref>L42</xm:sqref>
            </x14:sparkline>
            <x14:sparkline>
              <xm:f>' Summary'!G43:K43</xm:f>
              <xm:sqref>L43</xm:sqref>
            </x14:sparkline>
            <x14:sparkline>
              <xm:f>' Summary'!G44:K44</xm:f>
              <xm:sqref>L44</xm:sqref>
            </x14:sparkline>
            <x14:sparkline>
              <xm:f>' Summary'!G45:K45</xm:f>
              <xm:sqref>L45</xm:sqref>
            </x14:sparkline>
            <x14:sparkline>
              <xm:f>' Summary'!G46:K46</xm:f>
              <xm:sqref>L46</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249977111117893"/>
  </sheetPr>
  <dimension ref="B1:N16"/>
  <sheetViews>
    <sheetView showGridLines="0" workbookViewId="0">
      <selection activeCell="N1" sqref="N1"/>
    </sheetView>
  </sheetViews>
  <sheetFormatPr defaultRowHeight="15" x14ac:dyDescent="0.25"/>
  <cols>
    <col min="13" max="13" width="2.5703125" customWidth="1"/>
  </cols>
  <sheetData>
    <row r="1" spans="2:14" x14ac:dyDescent="0.25">
      <c r="B1" s="21"/>
      <c r="G1" s="21" t="s">
        <v>3</v>
      </c>
      <c r="L1" s="22" t="s">
        <v>42</v>
      </c>
      <c r="N1" s="119" t="s">
        <v>266</v>
      </c>
    </row>
    <row r="2" spans="2:14" ht="21" x14ac:dyDescent="0.35">
      <c r="D2" s="19" t="s">
        <v>40</v>
      </c>
      <c r="E2" s="18"/>
      <c r="F2" s="18"/>
      <c r="G2" s="18"/>
      <c r="H2" s="18"/>
      <c r="I2" s="18"/>
      <c r="J2" s="18"/>
      <c r="K2" s="18"/>
      <c r="L2" s="18"/>
      <c r="M2" s="18"/>
    </row>
    <row r="3" spans="2:14" ht="15.75" thickBot="1" x14ac:dyDescent="0.3"/>
    <row r="4" spans="2:14" ht="15.75" thickBot="1" x14ac:dyDescent="0.3">
      <c r="B4" s="25" t="s">
        <v>43</v>
      </c>
      <c r="C4" s="26" t="s">
        <v>44</v>
      </c>
    </row>
    <row r="5" spans="2:14" x14ac:dyDescent="0.25">
      <c r="B5" s="23">
        <v>1</v>
      </c>
      <c r="C5" s="27" t="s">
        <v>48</v>
      </c>
    </row>
    <row r="6" spans="2:14" x14ac:dyDescent="0.25">
      <c r="B6" s="23">
        <v>2</v>
      </c>
      <c r="C6" s="27" t="s">
        <v>47</v>
      </c>
    </row>
    <row r="7" spans="2:14" x14ac:dyDescent="0.25">
      <c r="B7" s="23">
        <v>3</v>
      </c>
      <c r="C7" s="27" t="s">
        <v>49</v>
      </c>
    </row>
    <row r="8" spans="2:14" x14ac:dyDescent="0.25">
      <c r="B8" s="23">
        <v>4</v>
      </c>
      <c r="C8" s="27" t="s">
        <v>50</v>
      </c>
    </row>
    <row r="9" spans="2:14" x14ac:dyDescent="0.25">
      <c r="B9" s="23">
        <v>5</v>
      </c>
      <c r="C9" s="27" t="s">
        <v>45</v>
      </c>
    </row>
    <row r="10" spans="2:14" x14ac:dyDescent="0.25">
      <c r="B10" s="23">
        <v>6</v>
      </c>
      <c r="C10" s="27" t="s">
        <v>46</v>
      </c>
    </row>
    <row r="11" spans="2:14" x14ac:dyDescent="0.25">
      <c r="B11" s="23">
        <v>7</v>
      </c>
      <c r="C11" s="27" t="s">
        <v>8</v>
      </c>
    </row>
    <row r="12" spans="2:14" x14ac:dyDescent="0.25">
      <c r="B12" s="23">
        <v>8</v>
      </c>
      <c r="C12" s="27" t="s">
        <v>16</v>
      </c>
    </row>
    <row r="13" spans="2:14" x14ac:dyDescent="0.25">
      <c r="B13" s="23">
        <v>9</v>
      </c>
      <c r="C13" s="27" t="s">
        <v>51</v>
      </c>
    </row>
    <row r="14" spans="2:14" x14ac:dyDescent="0.25">
      <c r="B14" s="23">
        <v>10</v>
      </c>
      <c r="C14" s="27" t="s">
        <v>52</v>
      </c>
    </row>
    <row r="15" spans="2:14" x14ac:dyDescent="0.25">
      <c r="B15" s="23">
        <v>11</v>
      </c>
      <c r="C15" s="27" t="s">
        <v>30</v>
      </c>
    </row>
    <row r="16" spans="2:14" x14ac:dyDescent="0.25">
      <c r="B16" s="23">
        <v>12</v>
      </c>
      <c r="C16" s="27" t="s">
        <v>53</v>
      </c>
    </row>
  </sheetData>
  <hyperlinks>
    <hyperlink ref="C5" location="'Cover Page'!A1" display="Cover Page"/>
    <hyperlink ref="C6" location="' Summary'!A1" display="Summary"/>
    <hyperlink ref="C7" location="'Table Of Content'!A1" display="Table Of Content"/>
    <hyperlink ref="C8" location="Dashboard!A1" display="Dashboard"/>
    <hyperlink ref="C9" location="'Input Data'!A1" display="Input Data"/>
    <hyperlink ref="C10" location="Workings!A1" display="Workings"/>
    <hyperlink ref="C11" location="'Income Statement'!A1" display="Income Statement"/>
    <hyperlink ref="C12" location="'Balance Sheet'!A1" display="Balance Sheet"/>
    <hyperlink ref="C13" location="Cashflow!A1" display="Cashflow"/>
    <hyperlink ref="C14" location="Valuation!A1" display="Valuation"/>
    <hyperlink ref="C15" location="'Financial Ratios'!A1" display="Financial Ratios"/>
    <hyperlink ref="C16" location="Dataset!A1" display="Dataset"/>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8" tint="-0.249977111117893"/>
  </sheetPr>
  <dimension ref="I1"/>
  <sheetViews>
    <sheetView showGridLines="0" zoomScale="90" zoomScaleNormal="90" workbookViewId="0">
      <selection activeCell="U5" sqref="U5"/>
    </sheetView>
  </sheetViews>
  <sheetFormatPr defaultRowHeight="15" x14ac:dyDescent="0.25"/>
  <cols>
    <col min="1" max="16384" width="9.140625" style="116"/>
  </cols>
  <sheetData>
    <row r="1" spans="9:9" x14ac:dyDescent="0.25">
      <c r="I1" s="118" t="s">
        <v>3</v>
      </c>
    </row>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4337" r:id="rId4" name="Drop Down 1">
              <controlPr defaultSize="0" autoLine="0" autoPict="0">
                <anchor moveWithCells="1">
                  <from>
                    <xdr:col>8</xdr:col>
                    <xdr:colOff>38100</xdr:colOff>
                    <xdr:row>1</xdr:row>
                    <xdr:rowOff>142875</xdr:rowOff>
                  </from>
                  <to>
                    <xdr:col>9</xdr:col>
                    <xdr:colOff>323850</xdr:colOff>
                    <xdr:row>2</xdr:row>
                    <xdr:rowOff>133350</xdr:rowOff>
                  </to>
                </anchor>
              </controlPr>
            </control>
          </mc:Choice>
        </mc:AlternateContent>
      </controls>
    </mc:Choice>
  </mc:AlternateContent>
  <extLst>
    <ext xmlns:x14="http://schemas.microsoft.com/office/spreadsheetml/2009/9/main" uri="{A8765BA9-456A-4dab-B4F3-ACF838C121DE}">
      <x14:slicerList>
        <x14:slicer r:id="rId5"/>
      </x14:slicerList>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7" tint="-0.249977111117893"/>
  </sheetPr>
  <dimension ref="B1:P123"/>
  <sheetViews>
    <sheetView showGridLines="0" topLeftCell="B96" zoomScaleNormal="100" workbookViewId="0">
      <selection activeCell="I10" sqref="I10"/>
    </sheetView>
  </sheetViews>
  <sheetFormatPr defaultRowHeight="15" x14ac:dyDescent="0.25"/>
  <cols>
    <col min="4" max="4" width="22" bestFit="1" customWidth="1"/>
    <col min="5" max="5" width="16.28515625" bestFit="1" customWidth="1"/>
    <col min="6" max="6" width="10.140625" customWidth="1"/>
    <col min="7" max="7" width="11.5703125" bestFit="1" customWidth="1"/>
    <col min="8" max="8" width="11.5703125" customWidth="1"/>
    <col min="9" max="9" width="11.5703125" bestFit="1" customWidth="1"/>
    <col min="10" max="10" width="11.5703125" customWidth="1"/>
    <col min="12" max="12" width="13.28515625" bestFit="1" customWidth="1"/>
    <col min="13" max="14" width="11.5703125" bestFit="1" customWidth="1"/>
    <col min="15" max="15" width="12" bestFit="1" customWidth="1"/>
    <col min="16" max="16" width="11.5703125" bestFit="1" customWidth="1"/>
    <col min="17" max="17" width="14.28515625" bestFit="1" customWidth="1"/>
  </cols>
  <sheetData>
    <row r="1" spans="2:16" x14ac:dyDescent="0.25">
      <c r="B1" s="21" t="s">
        <v>41</v>
      </c>
      <c r="D1" s="82">
        <v>2</v>
      </c>
      <c r="G1" s="28"/>
      <c r="I1" s="28" t="s">
        <v>3</v>
      </c>
      <c r="K1" s="29"/>
      <c r="L1" s="29"/>
      <c r="O1" s="22" t="s">
        <v>42</v>
      </c>
      <c r="P1" s="119" t="s">
        <v>266</v>
      </c>
    </row>
    <row r="2" spans="2:16" ht="21" x14ac:dyDescent="0.35">
      <c r="B2" s="1"/>
      <c r="C2" s="1"/>
      <c r="D2" s="18" t="s">
        <v>54</v>
      </c>
      <c r="E2" s="18"/>
      <c r="F2" s="18"/>
      <c r="G2" s="18"/>
      <c r="H2" s="18"/>
      <c r="I2" s="18"/>
      <c r="J2" s="18"/>
      <c r="K2" s="18"/>
      <c r="L2" s="18"/>
      <c r="M2" s="18"/>
      <c r="N2" s="18"/>
      <c r="O2" s="18"/>
      <c r="P2" s="18"/>
    </row>
    <row r="4" spans="2:16" s="45" customFormat="1" ht="15.75" thickBot="1" x14ac:dyDescent="0.3">
      <c r="K4" s="46">
        <v>2024</v>
      </c>
      <c r="L4" s="46">
        <f>K4+1</f>
        <v>2025</v>
      </c>
      <c r="M4" s="46">
        <f>L4+1</f>
        <v>2026</v>
      </c>
      <c r="N4" s="46">
        <f>M4+1</f>
        <v>2027</v>
      </c>
      <c r="O4" s="46">
        <f>N4+1</f>
        <v>2028</v>
      </c>
      <c r="P4" s="46">
        <f>O4+1</f>
        <v>2029</v>
      </c>
    </row>
    <row r="5" spans="2:16" ht="15.75" thickTop="1" x14ac:dyDescent="0.25">
      <c r="C5" s="24" t="s">
        <v>55</v>
      </c>
      <c r="L5" s="5">
        <v>7</v>
      </c>
      <c r="M5" s="5">
        <v>7</v>
      </c>
      <c r="N5" s="5">
        <v>7</v>
      </c>
      <c r="O5" s="5">
        <v>7</v>
      </c>
      <c r="P5" s="5">
        <v>7</v>
      </c>
    </row>
    <row r="6" spans="2:16" x14ac:dyDescent="0.25">
      <c r="C6" s="24" t="s">
        <v>56</v>
      </c>
      <c r="L6" s="6">
        <v>4</v>
      </c>
      <c r="M6" s="6">
        <v>4</v>
      </c>
      <c r="N6" s="6">
        <v>4</v>
      </c>
      <c r="O6" s="6">
        <v>4</v>
      </c>
      <c r="P6" s="6">
        <v>4</v>
      </c>
    </row>
    <row r="7" spans="2:16" x14ac:dyDescent="0.25">
      <c r="C7" s="24" t="s">
        <v>57</v>
      </c>
      <c r="L7" s="6">
        <v>12</v>
      </c>
      <c r="M7" s="6">
        <v>12</v>
      </c>
      <c r="N7" s="6">
        <v>12</v>
      </c>
      <c r="O7" s="6">
        <v>12</v>
      </c>
      <c r="P7" s="6">
        <v>12</v>
      </c>
    </row>
    <row r="8" spans="2:16" x14ac:dyDescent="0.25">
      <c r="C8" s="24" t="s">
        <v>58</v>
      </c>
      <c r="L8" s="6">
        <v>4</v>
      </c>
      <c r="M8" s="6">
        <v>4</v>
      </c>
      <c r="N8" s="6">
        <v>4</v>
      </c>
      <c r="O8" s="6">
        <v>4</v>
      </c>
      <c r="P8" s="6">
        <v>4</v>
      </c>
    </row>
    <row r="9" spans="2:16" x14ac:dyDescent="0.25">
      <c r="C9" s="24" t="s">
        <v>64</v>
      </c>
      <c r="L9" s="39">
        <v>0.1469</v>
      </c>
      <c r="M9" s="39">
        <v>0.14460000000000001</v>
      </c>
      <c r="N9" s="39">
        <v>0.14000000000000001</v>
      </c>
      <c r="O9" s="39">
        <v>0.14000000000000001</v>
      </c>
      <c r="P9" s="39">
        <v>0.14000000000000001</v>
      </c>
    </row>
    <row r="11" spans="2:16" x14ac:dyDescent="0.25">
      <c r="D11" t="s">
        <v>60</v>
      </c>
      <c r="E11" s="30">
        <v>0</v>
      </c>
      <c r="F11" s="30"/>
    </row>
    <row r="12" spans="2:16" x14ac:dyDescent="0.25">
      <c r="D12" t="s">
        <v>59</v>
      </c>
      <c r="E12" s="31">
        <v>0.35</v>
      </c>
      <c r="F12" s="31"/>
    </row>
    <row r="13" spans="2:16" x14ac:dyDescent="0.25">
      <c r="D13" t="s">
        <v>61</v>
      </c>
      <c r="E13" s="30">
        <v>0.2</v>
      </c>
    </row>
    <row r="14" spans="2:16" x14ac:dyDescent="0.25">
      <c r="D14" t="s">
        <v>62</v>
      </c>
      <c r="E14" s="30">
        <v>0</v>
      </c>
    </row>
    <row r="15" spans="2:16" x14ac:dyDescent="0.25">
      <c r="D15" t="s">
        <v>63</v>
      </c>
      <c r="E15" s="32">
        <v>3.8399999999999997E-2</v>
      </c>
      <c r="F15" s="32"/>
    </row>
    <row r="16" spans="2:16" x14ac:dyDescent="0.25">
      <c r="D16" t="s">
        <v>83</v>
      </c>
      <c r="E16" s="30">
        <v>0.3</v>
      </c>
      <c r="F16" s="30"/>
    </row>
    <row r="18" spans="3:16" x14ac:dyDescent="0.25">
      <c r="C18" s="24" t="s">
        <v>65</v>
      </c>
    </row>
    <row r="19" spans="3:16" x14ac:dyDescent="0.25">
      <c r="D19" t="s">
        <v>66</v>
      </c>
      <c r="E19" s="30">
        <v>1.2</v>
      </c>
      <c r="F19" s="30"/>
    </row>
    <row r="20" spans="3:16" x14ac:dyDescent="0.25">
      <c r="D20" t="s">
        <v>67</v>
      </c>
      <c r="E20" s="30">
        <v>1</v>
      </c>
      <c r="F20" s="30"/>
    </row>
    <row r="21" spans="3:16" x14ac:dyDescent="0.25">
      <c r="D21" t="s">
        <v>68</v>
      </c>
      <c r="E21" s="30">
        <v>0.5</v>
      </c>
      <c r="F21" s="30"/>
    </row>
    <row r="23" spans="3:16" s="1" customFormat="1" x14ac:dyDescent="0.25">
      <c r="C23" s="33" t="s">
        <v>87</v>
      </c>
    </row>
    <row r="24" spans="3:16" s="47" customFormat="1" x14ac:dyDescent="0.25"/>
    <row r="25" spans="3:16" x14ac:dyDescent="0.25">
      <c r="D25" t="s">
        <v>69</v>
      </c>
      <c r="F25" t="s">
        <v>84</v>
      </c>
      <c r="G25" t="s">
        <v>110</v>
      </c>
      <c r="L25" s="36">
        <v>93000</v>
      </c>
      <c r="M25" s="36">
        <f>L25*(1+M9)</f>
        <v>106447.8</v>
      </c>
      <c r="N25" s="36">
        <f>M25*(1+N9)</f>
        <v>121350.49200000001</v>
      </c>
      <c r="O25" s="36">
        <f>N25*(1+O9)</f>
        <v>138339.56088000003</v>
      </c>
      <c r="P25" s="36">
        <f>O25*(1+P9)</f>
        <v>157707.09940320006</v>
      </c>
    </row>
    <row r="26" spans="3:16" x14ac:dyDescent="0.25">
      <c r="D26" t="s">
        <v>70</v>
      </c>
      <c r="F26" t="s">
        <v>84</v>
      </c>
      <c r="G26" t="s">
        <v>110</v>
      </c>
      <c r="L26" s="36">
        <v>75000</v>
      </c>
      <c r="M26" s="36">
        <f>L26*(1+M9)</f>
        <v>85845</v>
      </c>
      <c r="N26" s="36">
        <f>M26*(1+N9)</f>
        <v>97863.300000000017</v>
      </c>
      <c r="O26" s="36">
        <f>N26*(1+O9)</f>
        <v>111564.16200000003</v>
      </c>
      <c r="P26" s="36">
        <f>O26*(1+P9)</f>
        <v>127183.14468000004</v>
      </c>
    </row>
    <row r="28" spans="3:16" s="1" customFormat="1" x14ac:dyDescent="0.25">
      <c r="C28" s="33" t="s">
        <v>71</v>
      </c>
    </row>
    <row r="29" spans="3:16" x14ac:dyDescent="0.25">
      <c r="D29" t="s">
        <v>75</v>
      </c>
    </row>
    <row r="30" spans="3:16" x14ac:dyDescent="0.25">
      <c r="E30" t="s">
        <v>72</v>
      </c>
      <c r="L30" s="38">
        <v>0.15</v>
      </c>
      <c r="M30" s="38">
        <v>0.15</v>
      </c>
      <c r="N30" s="38">
        <v>0.15</v>
      </c>
      <c r="O30" s="38">
        <v>0.15</v>
      </c>
      <c r="P30" s="38">
        <v>0.15</v>
      </c>
    </row>
    <row r="31" spans="3:16" x14ac:dyDescent="0.25">
      <c r="E31" t="s">
        <v>73</v>
      </c>
      <c r="L31" s="38">
        <v>0.08</v>
      </c>
      <c r="M31" s="38">
        <v>0.08</v>
      </c>
      <c r="N31" s="38">
        <v>0.08</v>
      </c>
      <c r="O31" s="38">
        <v>0.08</v>
      </c>
      <c r="P31" s="38">
        <v>0.08</v>
      </c>
    </row>
    <row r="32" spans="3:16" x14ac:dyDescent="0.25">
      <c r="E32" t="s">
        <v>74</v>
      </c>
      <c r="L32" s="38">
        <v>0.02</v>
      </c>
      <c r="M32" s="38">
        <v>0.02</v>
      </c>
      <c r="N32" s="38">
        <v>0.02</v>
      </c>
      <c r="O32" s="38">
        <v>0.02</v>
      </c>
      <c r="P32" s="38">
        <v>0.02</v>
      </c>
    </row>
    <row r="34" spans="3:16" x14ac:dyDescent="0.25">
      <c r="D34" t="s">
        <v>82</v>
      </c>
      <c r="K34" s="30"/>
      <c r="L34" s="38">
        <v>0.05</v>
      </c>
      <c r="M34" s="38">
        <v>0.05</v>
      </c>
      <c r="N34" s="38">
        <v>0.05</v>
      </c>
      <c r="O34" s="38">
        <v>0.05</v>
      </c>
      <c r="P34" s="38">
        <v>0.05</v>
      </c>
    </row>
    <row r="36" spans="3:16" s="1" customFormat="1" x14ac:dyDescent="0.25">
      <c r="C36" s="33" t="s">
        <v>88</v>
      </c>
    </row>
    <row r="37" spans="3:16" x14ac:dyDescent="0.25">
      <c r="D37" t="s">
        <v>96</v>
      </c>
      <c r="F37" t="s">
        <v>84</v>
      </c>
      <c r="G37" t="s">
        <v>97</v>
      </c>
      <c r="L37" s="36">
        <v>150000</v>
      </c>
      <c r="M37" s="36">
        <v>150000</v>
      </c>
      <c r="N37" s="36">
        <v>150000</v>
      </c>
      <c r="O37" s="36">
        <v>150000</v>
      </c>
      <c r="P37" s="36">
        <v>150000</v>
      </c>
    </row>
    <row r="38" spans="3:16" x14ac:dyDescent="0.25">
      <c r="D38" t="s">
        <v>90</v>
      </c>
      <c r="F38" t="s">
        <v>84</v>
      </c>
      <c r="G38" t="s">
        <v>98</v>
      </c>
      <c r="L38" s="43">
        <v>0.01</v>
      </c>
      <c r="M38" s="43">
        <v>0.01</v>
      </c>
      <c r="N38" s="43">
        <v>0.01</v>
      </c>
      <c r="O38" s="43">
        <v>0.01</v>
      </c>
      <c r="P38" s="43">
        <v>0.01</v>
      </c>
    </row>
    <row r="39" spans="3:16" x14ac:dyDescent="0.25">
      <c r="D39" t="s">
        <v>91</v>
      </c>
      <c r="F39" t="s">
        <v>84</v>
      </c>
      <c r="G39" t="s">
        <v>98</v>
      </c>
      <c r="L39" s="36">
        <v>2000000</v>
      </c>
      <c r="M39" s="36">
        <v>2000000</v>
      </c>
      <c r="N39" s="36">
        <v>2000000</v>
      </c>
      <c r="O39" s="36">
        <v>2000000</v>
      </c>
      <c r="P39" s="36">
        <v>2000000</v>
      </c>
    </row>
    <row r="40" spans="3:16" x14ac:dyDescent="0.25">
      <c r="D40" t="s">
        <v>95</v>
      </c>
      <c r="F40" t="s">
        <v>84</v>
      </c>
      <c r="G40" t="s">
        <v>97</v>
      </c>
      <c r="L40" s="36">
        <v>10000</v>
      </c>
      <c r="M40" s="36">
        <v>10000</v>
      </c>
      <c r="N40" s="36">
        <v>10000</v>
      </c>
      <c r="O40" s="36">
        <v>10000</v>
      </c>
      <c r="P40" s="36">
        <v>10000</v>
      </c>
    </row>
    <row r="41" spans="3:16" x14ac:dyDescent="0.25">
      <c r="D41" t="s">
        <v>99</v>
      </c>
      <c r="G41" t="s">
        <v>98</v>
      </c>
      <c r="L41" s="36">
        <v>100000</v>
      </c>
      <c r="M41" s="36">
        <v>100000</v>
      </c>
      <c r="N41" s="36">
        <v>100000</v>
      </c>
      <c r="O41" s="36">
        <v>100000</v>
      </c>
      <c r="P41" s="36">
        <v>100000</v>
      </c>
    </row>
    <row r="42" spans="3:16" x14ac:dyDescent="0.25">
      <c r="D42" t="s">
        <v>92</v>
      </c>
      <c r="F42" t="s">
        <v>84</v>
      </c>
      <c r="G42" t="s">
        <v>97</v>
      </c>
      <c r="L42" s="36">
        <v>200000</v>
      </c>
      <c r="M42" s="36">
        <v>200000</v>
      </c>
      <c r="N42" s="36">
        <v>200000</v>
      </c>
      <c r="O42" s="36">
        <v>200000</v>
      </c>
      <c r="P42" s="36">
        <v>200000</v>
      </c>
    </row>
    <row r="43" spans="3:16" x14ac:dyDescent="0.25">
      <c r="D43" t="s">
        <v>93</v>
      </c>
      <c r="F43" t="s">
        <v>84</v>
      </c>
      <c r="G43" t="s">
        <v>97</v>
      </c>
      <c r="L43" s="36">
        <v>150000</v>
      </c>
      <c r="M43" s="36">
        <v>150000</v>
      </c>
      <c r="N43" s="36">
        <v>150000</v>
      </c>
      <c r="O43" s="36">
        <v>150000</v>
      </c>
      <c r="P43" s="36">
        <v>150000</v>
      </c>
    </row>
    <row r="45" spans="3:16" s="1" customFormat="1" x14ac:dyDescent="0.25">
      <c r="C45" s="33" t="s">
        <v>89</v>
      </c>
    </row>
    <row r="46" spans="3:16" x14ac:dyDescent="0.25">
      <c r="D46" t="s">
        <v>94</v>
      </c>
      <c r="G46" t="s">
        <v>86</v>
      </c>
      <c r="L46" s="6">
        <v>1</v>
      </c>
      <c r="M46" s="6">
        <v>1</v>
      </c>
      <c r="N46" s="6">
        <v>1</v>
      </c>
      <c r="O46" s="6">
        <v>1</v>
      </c>
      <c r="P46" s="6">
        <v>1</v>
      </c>
    </row>
    <row r="47" spans="3:16" x14ac:dyDescent="0.25">
      <c r="D47" t="s">
        <v>76</v>
      </c>
      <c r="G47" t="s">
        <v>86</v>
      </c>
      <c r="L47" s="6">
        <v>1</v>
      </c>
      <c r="M47" s="6">
        <v>1</v>
      </c>
      <c r="N47" s="6">
        <v>1</v>
      </c>
      <c r="O47" s="6">
        <v>1</v>
      </c>
      <c r="P47" s="6">
        <v>1</v>
      </c>
    </row>
    <row r="48" spans="3:16" x14ac:dyDescent="0.25">
      <c r="D48" t="s">
        <v>85</v>
      </c>
      <c r="G48" t="s">
        <v>86</v>
      </c>
      <c r="L48" s="6">
        <v>1</v>
      </c>
      <c r="M48" s="6">
        <v>1</v>
      </c>
      <c r="N48" s="6">
        <v>1</v>
      </c>
      <c r="O48" s="6">
        <v>1</v>
      </c>
      <c r="P48" s="6">
        <v>1</v>
      </c>
    </row>
    <row r="49" spans="4:16" x14ac:dyDescent="0.25">
      <c r="D49" t="s">
        <v>77</v>
      </c>
      <c r="G49" t="s">
        <v>86</v>
      </c>
      <c r="L49" s="6">
        <v>1</v>
      </c>
      <c r="M49" s="6">
        <v>1</v>
      </c>
      <c r="N49" s="6">
        <v>1</v>
      </c>
      <c r="O49" s="6">
        <v>1</v>
      </c>
      <c r="P49" s="6">
        <v>1</v>
      </c>
    </row>
    <row r="50" spans="4:16" x14ac:dyDescent="0.25">
      <c r="D50" t="s">
        <v>81</v>
      </c>
      <c r="G50" t="s">
        <v>86</v>
      </c>
      <c r="L50" s="6">
        <v>3</v>
      </c>
      <c r="M50" s="6">
        <v>3</v>
      </c>
      <c r="N50" s="6">
        <v>3</v>
      </c>
      <c r="O50" s="6">
        <v>3</v>
      </c>
      <c r="P50" s="6">
        <v>3</v>
      </c>
    </row>
    <row r="51" spans="4:16" x14ac:dyDescent="0.25">
      <c r="D51" t="s">
        <v>78</v>
      </c>
      <c r="G51" t="s">
        <v>86</v>
      </c>
      <c r="L51" s="6">
        <v>2</v>
      </c>
      <c r="M51" s="6">
        <v>2</v>
      </c>
      <c r="N51" s="6">
        <v>2</v>
      </c>
      <c r="O51" s="6">
        <v>2</v>
      </c>
      <c r="P51" s="6">
        <v>2</v>
      </c>
    </row>
    <row r="52" spans="4:16" x14ac:dyDescent="0.25">
      <c r="D52" t="s">
        <v>79</v>
      </c>
      <c r="G52" t="s">
        <v>86</v>
      </c>
      <c r="L52" s="6">
        <v>1</v>
      </c>
      <c r="M52" s="6">
        <v>1</v>
      </c>
      <c r="N52" s="6">
        <v>1</v>
      </c>
      <c r="O52" s="6">
        <v>1</v>
      </c>
      <c r="P52" s="6">
        <v>1</v>
      </c>
    </row>
    <row r="53" spans="4:16" x14ac:dyDescent="0.25">
      <c r="D53" t="s">
        <v>80</v>
      </c>
      <c r="G53" t="s">
        <v>86</v>
      </c>
      <c r="L53" s="6">
        <v>1</v>
      </c>
      <c r="M53" s="6">
        <v>1</v>
      </c>
      <c r="N53" s="6">
        <v>1</v>
      </c>
      <c r="O53" s="6">
        <v>1</v>
      </c>
      <c r="P53" s="6">
        <v>1</v>
      </c>
    </row>
    <row r="55" spans="4:16" x14ac:dyDescent="0.25">
      <c r="D55" t="s">
        <v>94</v>
      </c>
      <c r="F55" t="s">
        <v>84</v>
      </c>
      <c r="G55" t="s">
        <v>97</v>
      </c>
      <c r="L55" s="41">
        <v>150000</v>
      </c>
      <c r="M55" s="41">
        <v>150000</v>
      </c>
      <c r="N55" s="41">
        <v>150000</v>
      </c>
      <c r="O55" s="41">
        <v>150000</v>
      </c>
      <c r="P55" s="41">
        <v>150000</v>
      </c>
    </row>
    <row r="56" spans="4:16" x14ac:dyDescent="0.25">
      <c r="D56" t="s">
        <v>76</v>
      </c>
      <c r="F56" t="s">
        <v>84</v>
      </c>
      <c r="G56" t="s">
        <v>97</v>
      </c>
      <c r="L56" s="36">
        <v>50000</v>
      </c>
      <c r="M56" s="36">
        <v>50000</v>
      </c>
      <c r="N56" s="36">
        <v>50000</v>
      </c>
      <c r="O56" s="36">
        <v>50000</v>
      </c>
      <c r="P56" s="36">
        <v>50000</v>
      </c>
    </row>
    <row r="57" spans="4:16" x14ac:dyDescent="0.25">
      <c r="D57" t="s">
        <v>85</v>
      </c>
      <c r="F57" t="s">
        <v>84</v>
      </c>
      <c r="G57" t="s">
        <v>97</v>
      </c>
      <c r="L57" s="36">
        <v>50000</v>
      </c>
      <c r="M57" s="36">
        <v>50000</v>
      </c>
      <c r="N57" s="36">
        <v>50000</v>
      </c>
      <c r="O57" s="36">
        <v>50000</v>
      </c>
      <c r="P57" s="36">
        <v>50000</v>
      </c>
    </row>
    <row r="58" spans="4:16" x14ac:dyDescent="0.25">
      <c r="D58" t="s">
        <v>77</v>
      </c>
      <c r="F58" t="s">
        <v>84</v>
      </c>
      <c r="G58" t="s">
        <v>97</v>
      </c>
      <c r="L58" s="36">
        <v>35000</v>
      </c>
      <c r="M58" s="36">
        <v>35000</v>
      </c>
      <c r="N58" s="36">
        <v>35000</v>
      </c>
      <c r="O58" s="36">
        <v>35000</v>
      </c>
      <c r="P58" s="36">
        <v>35000</v>
      </c>
    </row>
    <row r="59" spans="4:16" x14ac:dyDescent="0.25">
      <c r="D59" t="s">
        <v>81</v>
      </c>
      <c r="F59" t="s">
        <v>84</v>
      </c>
      <c r="G59" t="s">
        <v>97</v>
      </c>
      <c r="L59" s="36">
        <v>25000</v>
      </c>
      <c r="M59" s="36">
        <v>25000</v>
      </c>
      <c r="N59" s="36">
        <v>25000</v>
      </c>
      <c r="O59" s="36">
        <v>25000</v>
      </c>
      <c r="P59" s="36">
        <v>25000</v>
      </c>
    </row>
    <row r="60" spans="4:16" x14ac:dyDescent="0.25">
      <c r="D60" t="s">
        <v>78</v>
      </c>
      <c r="F60" t="s">
        <v>84</v>
      </c>
      <c r="G60" t="s">
        <v>97</v>
      </c>
      <c r="L60" s="36">
        <v>25000</v>
      </c>
      <c r="M60" s="36">
        <v>25000</v>
      </c>
      <c r="N60" s="36">
        <v>25000</v>
      </c>
      <c r="O60" s="36">
        <v>25000</v>
      </c>
      <c r="P60" s="36">
        <v>25000</v>
      </c>
    </row>
    <row r="61" spans="4:16" x14ac:dyDescent="0.25">
      <c r="D61" t="s">
        <v>79</v>
      </c>
      <c r="F61" t="s">
        <v>84</v>
      </c>
      <c r="G61" t="s">
        <v>97</v>
      </c>
      <c r="L61" s="36">
        <v>30000</v>
      </c>
      <c r="M61" s="36">
        <v>30000</v>
      </c>
      <c r="N61" s="36">
        <v>30000</v>
      </c>
      <c r="O61" s="36">
        <v>30000</v>
      </c>
      <c r="P61" s="36">
        <v>30000</v>
      </c>
    </row>
    <row r="62" spans="4:16" x14ac:dyDescent="0.25">
      <c r="D62" t="s">
        <v>80</v>
      </c>
      <c r="F62" t="s">
        <v>84</v>
      </c>
      <c r="G62" t="s">
        <v>97</v>
      </c>
      <c r="L62" s="36">
        <v>20000</v>
      </c>
      <c r="M62" s="36">
        <v>20000</v>
      </c>
      <c r="N62" s="36">
        <v>20000</v>
      </c>
      <c r="O62" s="36">
        <v>20000</v>
      </c>
      <c r="P62" s="36">
        <v>20000</v>
      </c>
    </row>
    <row r="65" spans="3:16" s="1" customFormat="1" x14ac:dyDescent="0.25">
      <c r="C65" s="33" t="s">
        <v>101</v>
      </c>
    </row>
    <row r="67" spans="3:16" x14ac:dyDescent="0.25">
      <c r="D67" s="24" t="s">
        <v>102</v>
      </c>
    </row>
    <row r="69" spans="3:16" x14ac:dyDescent="0.25">
      <c r="E69" s="24" t="s">
        <v>103</v>
      </c>
    </row>
    <row r="70" spans="3:16" x14ac:dyDescent="0.25">
      <c r="E70" s="24"/>
      <c r="F70" t="s">
        <v>116</v>
      </c>
    </row>
    <row r="71" spans="3:16" x14ac:dyDescent="0.25">
      <c r="E71" s="24"/>
      <c r="H71" t="s">
        <v>86</v>
      </c>
      <c r="L71" s="6">
        <v>1</v>
      </c>
      <c r="M71" s="37">
        <v>0</v>
      </c>
      <c r="N71" s="37">
        <v>0</v>
      </c>
      <c r="O71" s="36">
        <v>1</v>
      </c>
      <c r="P71" s="37">
        <v>0</v>
      </c>
    </row>
    <row r="72" spans="3:16" x14ac:dyDescent="0.25">
      <c r="H72" t="s">
        <v>108</v>
      </c>
      <c r="L72" s="36">
        <v>2000000</v>
      </c>
      <c r="M72" s="36">
        <v>0</v>
      </c>
      <c r="N72" s="36">
        <v>0</v>
      </c>
      <c r="O72" s="36">
        <v>850000</v>
      </c>
      <c r="P72" s="36">
        <v>0</v>
      </c>
    </row>
    <row r="73" spans="3:16" x14ac:dyDescent="0.25">
      <c r="G73" s="44"/>
      <c r="H73" t="s">
        <v>104</v>
      </c>
      <c r="I73" s="56">
        <v>5</v>
      </c>
      <c r="J73" s="30">
        <f>1/I73</f>
        <v>0.2</v>
      </c>
      <c r="L73" s="6"/>
      <c r="M73" s="6"/>
      <c r="N73" s="6"/>
      <c r="O73" s="6"/>
      <c r="P73" s="6"/>
    </row>
    <row r="74" spans="3:16" x14ac:dyDescent="0.25">
      <c r="G74" s="35"/>
      <c r="H74" t="s">
        <v>105</v>
      </c>
      <c r="I74" s="35">
        <v>200000</v>
      </c>
      <c r="J74" s="35"/>
      <c r="L74" s="6"/>
      <c r="M74" s="6"/>
      <c r="N74" s="6"/>
      <c r="O74" s="6"/>
      <c r="P74" s="6"/>
    </row>
    <row r="75" spans="3:16" x14ac:dyDescent="0.25">
      <c r="G75" s="35"/>
      <c r="I75" s="35"/>
      <c r="J75" s="35"/>
      <c r="L75" s="3"/>
      <c r="M75" s="3"/>
      <c r="N75" s="3"/>
      <c r="O75" s="3"/>
      <c r="P75" s="3"/>
    </row>
    <row r="76" spans="3:16" x14ac:dyDescent="0.25">
      <c r="F76" t="s">
        <v>117</v>
      </c>
      <c r="I76" s="35"/>
      <c r="J76" s="35"/>
      <c r="L76" s="3"/>
      <c r="M76" s="3"/>
      <c r="N76" s="3"/>
      <c r="O76" s="3"/>
      <c r="P76" s="3"/>
    </row>
    <row r="77" spans="3:16" x14ac:dyDescent="0.25">
      <c r="H77" t="s">
        <v>86</v>
      </c>
      <c r="I77" s="35"/>
      <c r="J77" s="35"/>
      <c r="L77" s="6">
        <v>1</v>
      </c>
      <c r="M77" s="37">
        <v>0</v>
      </c>
      <c r="N77" s="37">
        <v>0</v>
      </c>
      <c r="O77" s="37">
        <v>0</v>
      </c>
      <c r="P77" s="37">
        <v>0</v>
      </c>
    </row>
    <row r="78" spans="3:16" x14ac:dyDescent="0.25">
      <c r="H78" t="s">
        <v>108</v>
      </c>
      <c r="I78" s="35"/>
      <c r="J78" s="35"/>
      <c r="L78" s="36">
        <v>300000</v>
      </c>
      <c r="M78" s="36">
        <v>0</v>
      </c>
      <c r="N78" s="36">
        <v>0</v>
      </c>
      <c r="O78" s="36">
        <v>0</v>
      </c>
      <c r="P78" s="36">
        <v>0</v>
      </c>
    </row>
    <row r="79" spans="3:16" x14ac:dyDescent="0.25">
      <c r="G79" s="44"/>
      <c r="H79" t="s">
        <v>104</v>
      </c>
      <c r="I79" s="56">
        <v>5</v>
      </c>
      <c r="J79" s="30">
        <f>1/I79</f>
        <v>0.2</v>
      </c>
      <c r="L79" s="6"/>
      <c r="M79" s="6"/>
      <c r="N79" s="6"/>
      <c r="O79" s="6"/>
      <c r="P79" s="6"/>
    </row>
    <row r="80" spans="3:16" x14ac:dyDescent="0.25">
      <c r="G80" s="35"/>
      <c r="H80" t="s">
        <v>105</v>
      </c>
      <c r="I80" s="35">
        <v>30000</v>
      </c>
      <c r="J80" s="35"/>
      <c r="L80" s="6"/>
      <c r="M80" s="6"/>
      <c r="N80" s="6"/>
      <c r="O80" s="6"/>
      <c r="P80" s="6"/>
    </row>
    <row r="81" spans="6:16" x14ac:dyDescent="0.25">
      <c r="G81" s="35"/>
      <c r="I81" s="35"/>
      <c r="J81" s="35"/>
      <c r="L81" s="3"/>
      <c r="M81" s="3"/>
      <c r="N81" s="3"/>
      <c r="O81" s="3"/>
      <c r="P81" s="3"/>
    </row>
    <row r="82" spans="6:16" x14ac:dyDescent="0.25">
      <c r="F82" t="s">
        <v>118</v>
      </c>
      <c r="I82" s="35"/>
      <c r="J82" s="35"/>
      <c r="L82" s="3"/>
      <c r="M82" s="3"/>
      <c r="N82" s="3"/>
      <c r="O82" s="3"/>
      <c r="P82" s="3"/>
    </row>
    <row r="83" spans="6:16" x14ac:dyDescent="0.25">
      <c r="H83" t="s">
        <v>86</v>
      </c>
      <c r="I83" s="35"/>
      <c r="J83" s="35"/>
      <c r="L83" s="6">
        <v>4</v>
      </c>
      <c r="M83" s="37">
        <v>0</v>
      </c>
      <c r="N83" s="37">
        <v>0</v>
      </c>
      <c r="O83" s="37">
        <v>0</v>
      </c>
      <c r="P83" s="37">
        <v>0</v>
      </c>
    </row>
    <row r="84" spans="6:16" x14ac:dyDescent="0.25">
      <c r="H84" t="s">
        <v>108</v>
      </c>
      <c r="I84" s="35"/>
      <c r="J84" s="35"/>
      <c r="L84" s="36">
        <v>350000</v>
      </c>
      <c r="M84" s="36">
        <v>0</v>
      </c>
      <c r="N84" s="36">
        <v>0</v>
      </c>
      <c r="O84" s="36">
        <v>0</v>
      </c>
      <c r="P84" s="36">
        <v>0</v>
      </c>
    </row>
    <row r="85" spans="6:16" x14ac:dyDescent="0.25">
      <c r="G85" s="44"/>
      <c r="H85" t="s">
        <v>104</v>
      </c>
      <c r="I85" s="56">
        <v>5</v>
      </c>
      <c r="J85" s="30">
        <f>1/I85</f>
        <v>0.2</v>
      </c>
      <c r="L85" s="6"/>
      <c r="M85" s="6"/>
      <c r="N85" s="6"/>
      <c r="O85" s="6"/>
      <c r="P85" s="6"/>
    </row>
    <row r="86" spans="6:16" x14ac:dyDescent="0.25">
      <c r="G86" s="35"/>
      <c r="H86" t="s">
        <v>105</v>
      </c>
      <c r="I86" s="35">
        <v>35000</v>
      </c>
      <c r="J86" s="35"/>
      <c r="L86" s="6"/>
      <c r="M86" s="6"/>
      <c r="N86" s="6"/>
      <c r="O86" s="6"/>
      <c r="P86" s="6"/>
    </row>
    <row r="87" spans="6:16" x14ac:dyDescent="0.25">
      <c r="G87" s="35"/>
      <c r="I87" s="35"/>
      <c r="J87" s="35"/>
      <c r="L87" s="3"/>
      <c r="M87" s="3"/>
      <c r="N87" s="3"/>
      <c r="O87" s="3"/>
      <c r="P87" s="3"/>
    </row>
    <row r="88" spans="6:16" x14ac:dyDescent="0.25">
      <c r="F88" t="s">
        <v>119</v>
      </c>
      <c r="I88" s="35"/>
      <c r="J88" s="35"/>
      <c r="L88" s="3"/>
      <c r="M88" s="3"/>
      <c r="N88" s="3"/>
      <c r="O88" s="3"/>
      <c r="P88" s="3"/>
    </row>
    <row r="89" spans="6:16" x14ac:dyDescent="0.25">
      <c r="H89" t="s">
        <v>86</v>
      </c>
      <c r="I89" s="35"/>
      <c r="J89" s="35"/>
      <c r="L89" s="6">
        <v>3</v>
      </c>
      <c r="M89" s="37">
        <v>0</v>
      </c>
      <c r="N89" s="37">
        <v>0</v>
      </c>
      <c r="O89" s="37">
        <v>0</v>
      </c>
      <c r="P89" s="37">
        <v>0</v>
      </c>
    </row>
    <row r="90" spans="6:16" x14ac:dyDescent="0.25">
      <c r="H90" t="s">
        <v>108</v>
      </c>
      <c r="I90" s="35"/>
      <c r="J90" s="35"/>
      <c r="L90" s="36">
        <v>80000</v>
      </c>
      <c r="M90" s="36">
        <v>0</v>
      </c>
      <c r="N90" s="36">
        <v>0</v>
      </c>
      <c r="O90" s="36">
        <v>0</v>
      </c>
      <c r="P90" s="36">
        <v>0</v>
      </c>
    </row>
    <row r="91" spans="6:16" x14ac:dyDescent="0.25">
      <c r="G91" s="44"/>
      <c r="H91" t="s">
        <v>104</v>
      </c>
      <c r="I91" s="56">
        <v>5</v>
      </c>
      <c r="J91" s="30">
        <f>1/I91</f>
        <v>0.2</v>
      </c>
      <c r="L91" s="6"/>
      <c r="M91" s="6"/>
      <c r="N91" s="6"/>
      <c r="O91" s="6"/>
      <c r="P91" s="6"/>
    </row>
    <row r="92" spans="6:16" x14ac:dyDescent="0.25">
      <c r="G92" s="35"/>
      <c r="H92" t="s">
        <v>105</v>
      </c>
      <c r="I92" s="35">
        <v>8000</v>
      </c>
      <c r="J92" s="35"/>
      <c r="L92" s="6"/>
      <c r="M92" s="6"/>
      <c r="N92" s="6"/>
      <c r="O92" s="6"/>
      <c r="P92" s="6"/>
    </row>
    <row r="93" spans="6:16" x14ac:dyDescent="0.25">
      <c r="G93" s="35"/>
      <c r="I93" s="35"/>
      <c r="J93" s="35"/>
      <c r="L93" s="3"/>
      <c r="M93" s="3"/>
      <c r="N93" s="3"/>
      <c r="O93" s="3"/>
      <c r="P93" s="3"/>
    </row>
    <row r="94" spans="6:16" x14ac:dyDescent="0.25">
      <c r="F94" t="s">
        <v>120</v>
      </c>
      <c r="I94" s="35"/>
      <c r="J94" s="35"/>
      <c r="L94" s="3"/>
      <c r="M94" s="3"/>
      <c r="N94" s="3"/>
      <c r="O94" s="3"/>
      <c r="P94" s="3"/>
    </row>
    <row r="95" spans="6:16" x14ac:dyDescent="0.25">
      <c r="H95" t="s">
        <v>86</v>
      </c>
      <c r="I95" s="35"/>
      <c r="J95" s="35"/>
      <c r="L95" s="6">
        <v>2</v>
      </c>
      <c r="M95" s="37">
        <v>0</v>
      </c>
      <c r="N95" s="37">
        <v>0</v>
      </c>
      <c r="O95" s="37">
        <v>0</v>
      </c>
      <c r="P95" s="37">
        <v>0</v>
      </c>
    </row>
    <row r="96" spans="6:16" x14ac:dyDescent="0.25">
      <c r="H96" t="s">
        <v>108</v>
      </c>
      <c r="I96" s="35"/>
      <c r="J96" s="35"/>
      <c r="L96" s="36">
        <v>30000</v>
      </c>
      <c r="M96" s="36">
        <v>0</v>
      </c>
      <c r="N96" s="36">
        <v>0</v>
      </c>
      <c r="O96" s="36">
        <v>0</v>
      </c>
      <c r="P96" s="36">
        <v>0</v>
      </c>
    </row>
    <row r="97" spans="3:16" x14ac:dyDescent="0.25">
      <c r="G97" s="44"/>
      <c r="H97" t="s">
        <v>104</v>
      </c>
      <c r="I97" s="56">
        <v>5</v>
      </c>
      <c r="J97" s="30">
        <f>1/I97</f>
        <v>0.2</v>
      </c>
      <c r="L97" s="6"/>
      <c r="M97" s="6"/>
      <c r="N97" s="6"/>
      <c r="O97" s="6"/>
      <c r="P97" s="6"/>
    </row>
    <row r="98" spans="3:16" x14ac:dyDescent="0.25">
      <c r="G98" s="35"/>
      <c r="H98" t="s">
        <v>105</v>
      </c>
      <c r="I98" s="35">
        <v>3000</v>
      </c>
      <c r="J98" s="35"/>
      <c r="L98" s="6"/>
      <c r="M98" s="6"/>
      <c r="N98" s="6"/>
      <c r="O98" s="6"/>
      <c r="P98" s="6"/>
    </row>
    <row r="99" spans="3:16" x14ac:dyDescent="0.25">
      <c r="G99" s="35"/>
      <c r="I99" s="35"/>
      <c r="J99" s="35"/>
      <c r="L99" s="3"/>
      <c r="M99" s="3"/>
      <c r="N99" s="3"/>
      <c r="O99" s="3"/>
      <c r="P99" s="3"/>
    </row>
    <row r="100" spans="3:16" x14ac:dyDescent="0.25">
      <c r="F100" t="s">
        <v>121</v>
      </c>
      <c r="I100" s="35"/>
      <c r="J100" s="35"/>
      <c r="L100" s="3"/>
      <c r="M100" s="3"/>
      <c r="N100" s="3"/>
      <c r="O100" s="3"/>
      <c r="P100" s="3"/>
    </row>
    <row r="101" spans="3:16" x14ac:dyDescent="0.25">
      <c r="H101" t="s">
        <v>86</v>
      </c>
      <c r="I101" s="35"/>
      <c r="J101" s="35"/>
      <c r="L101" s="6">
        <v>1</v>
      </c>
      <c r="M101" s="37">
        <v>0</v>
      </c>
      <c r="N101" s="37">
        <v>0</v>
      </c>
      <c r="O101" s="37">
        <v>0</v>
      </c>
      <c r="P101" s="37">
        <v>0</v>
      </c>
    </row>
    <row r="102" spans="3:16" x14ac:dyDescent="0.25">
      <c r="H102" t="s">
        <v>108</v>
      </c>
      <c r="I102" s="35"/>
      <c r="J102" s="35"/>
      <c r="L102" s="36">
        <v>2000000</v>
      </c>
      <c r="M102" s="36">
        <v>0</v>
      </c>
      <c r="N102" s="36">
        <v>0</v>
      </c>
      <c r="O102" s="36">
        <v>0</v>
      </c>
      <c r="P102" s="36">
        <v>0</v>
      </c>
    </row>
    <row r="103" spans="3:16" x14ac:dyDescent="0.25">
      <c r="G103" s="44"/>
      <c r="H103" t="s">
        <v>104</v>
      </c>
      <c r="I103" s="56">
        <v>5</v>
      </c>
      <c r="J103" s="30">
        <f>1/I103</f>
        <v>0.2</v>
      </c>
      <c r="L103" s="6"/>
      <c r="M103" s="6"/>
      <c r="N103" s="6"/>
      <c r="O103" s="6"/>
      <c r="P103" s="6"/>
    </row>
    <row r="104" spans="3:16" x14ac:dyDescent="0.25">
      <c r="G104" s="35"/>
      <c r="H104" t="s">
        <v>105</v>
      </c>
      <c r="I104" s="35">
        <v>200000</v>
      </c>
      <c r="J104" s="35"/>
      <c r="L104" s="6"/>
      <c r="M104" s="6"/>
      <c r="N104" s="6"/>
      <c r="O104" s="6"/>
      <c r="P104" s="6"/>
    </row>
    <row r="105" spans="3:16" x14ac:dyDescent="0.25">
      <c r="G105" s="35"/>
      <c r="I105" s="35"/>
      <c r="J105" s="35"/>
      <c r="L105" s="3"/>
      <c r="M105" s="3"/>
      <c r="N105" s="3"/>
      <c r="O105" s="3"/>
      <c r="P105" s="3"/>
    </row>
    <row r="106" spans="3:16" x14ac:dyDescent="0.25">
      <c r="E106" s="24" t="s">
        <v>106</v>
      </c>
    </row>
    <row r="107" spans="3:16" x14ac:dyDescent="0.25">
      <c r="E107" s="24"/>
      <c r="F107" t="s">
        <v>86</v>
      </c>
      <c r="L107" s="6">
        <v>1</v>
      </c>
      <c r="M107" s="6"/>
      <c r="N107" s="6"/>
      <c r="O107" s="6"/>
      <c r="P107" s="6"/>
    </row>
    <row r="108" spans="3:16" x14ac:dyDescent="0.25">
      <c r="F108" t="s">
        <v>107</v>
      </c>
      <c r="L108" s="36">
        <v>4000000</v>
      </c>
      <c r="M108" s="37">
        <v>0</v>
      </c>
      <c r="N108" s="37">
        <v>0</v>
      </c>
      <c r="O108" s="37">
        <v>0</v>
      </c>
      <c r="P108" s="37">
        <v>0</v>
      </c>
    </row>
    <row r="109" spans="3:16" x14ac:dyDescent="0.25">
      <c r="F109" t="s">
        <v>104</v>
      </c>
      <c r="G109" s="44">
        <v>4</v>
      </c>
      <c r="H109" s="44"/>
      <c r="I109" s="30">
        <f>1/4</f>
        <v>0.25</v>
      </c>
      <c r="J109" s="30"/>
      <c r="L109" s="6"/>
      <c r="M109" s="6"/>
      <c r="N109" s="6"/>
      <c r="O109" s="6"/>
      <c r="P109" s="6"/>
    </row>
    <row r="110" spans="3:16" x14ac:dyDescent="0.25">
      <c r="F110" t="s">
        <v>105</v>
      </c>
      <c r="L110" s="6"/>
      <c r="M110" s="6"/>
      <c r="N110" s="6"/>
      <c r="O110" s="6"/>
      <c r="P110" s="6"/>
    </row>
    <row r="112" spans="3:16" s="1" customFormat="1" x14ac:dyDescent="0.25">
      <c r="C112" s="33" t="s">
        <v>130</v>
      </c>
    </row>
    <row r="113" spans="2:12" x14ac:dyDescent="0.25">
      <c r="D113" t="s">
        <v>127</v>
      </c>
      <c r="F113" s="48" t="s">
        <v>84</v>
      </c>
      <c r="L113" s="35">
        <v>25000</v>
      </c>
    </row>
    <row r="114" spans="2:12" ht="15.75" thickBot="1" x14ac:dyDescent="0.3">
      <c r="D114" t="s">
        <v>91</v>
      </c>
      <c r="F114" s="48" t="s">
        <v>84</v>
      </c>
      <c r="L114" s="42">
        <f>'Input Data'!L39</f>
        <v>2000000</v>
      </c>
    </row>
    <row r="115" spans="2:12" ht="16.5" thickTop="1" thickBot="1" x14ac:dyDescent="0.3">
      <c r="L115" s="58">
        <f>SUM(L113:L114)</f>
        <v>2025000</v>
      </c>
    </row>
    <row r="116" spans="2:12" ht="15.75" thickTop="1" x14ac:dyDescent="0.25">
      <c r="G116" s="59"/>
    </row>
    <row r="117" spans="2:12" s="34" customFormat="1" x14ac:dyDescent="0.25">
      <c r="B117" s="34" t="s">
        <v>128</v>
      </c>
    </row>
    <row r="118" spans="2:12" x14ac:dyDescent="0.25">
      <c r="D118" t="s">
        <v>134</v>
      </c>
      <c r="L118" s="30">
        <v>1</v>
      </c>
    </row>
    <row r="119" spans="2:12" ht="15.75" thickBot="1" x14ac:dyDescent="0.3">
      <c r="D119" t="s">
        <v>135</v>
      </c>
      <c r="L119" s="30">
        <v>0</v>
      </c>
    </row>
    <row r="120" spans="2:12" ht="16.5" thickTop="1" thickBot="1" x14ac:dyDescent="0.3">
      <c r="D120" t="s">
        <v>136</v>
      </c>
      <c r="L120" s="65">
        <f>L118+L119</f>
        <v>1</v>
      </c>
    </row>
    <row r="121" spans="2:12" ht="15.75" thickTop="1" x14ac:dyDescent="0.25"/>
    <row r="122" spans="2:12" x14ac:dyDescent="0.25">
      <c r="D122" t="s">
        <v>148</v>
      </c>
    </row>
    <row r="123" spans="2:12" x14ac:dyDescent="0.25">
      <c r="D123" t="s">
        <v>149</v>
      </c>
      <c r="G123" s="30">
        <v>0.25</v>
      </c>
    </row>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5361" r:id="rId4" name="Drop Down 1">
              <controlPr defaultSize="0" autoLine="0" autoPict="0">
                <anchor moveWithCells="1">
                  <from>
                    <xdr:col>1</xdr:col>
                    <xdr:colOff>542925</xdr:colOff>
                    <xdr:row>0</xdr:row>
                    <xdr:rowOff>19050</xdr:rowOff>
                  </from>
                  <to>
                    <xdr:col>3</xdr:col>
                    <xdr:colOff>19050</xdr:colOff>
                    <xdr:row>0</xdr:row>
                    <xdr:rowOff>171450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8" tint="-0.249977111117893"/>
  </sheetPr>
  <dimension ref="B1:O125"/>
  <sheetViews>
    <sheetView showGridLines="0" topLeftCell="B1" zoomScaleNormal="100" workbookViewId="0">
      <selection activeCell="O1" sqref="O1"/>
    </sheetView>
  </sheetViews>
  <sheetFormatPr defaultRowHeight="15" x14ac:dyDescent="0.25"/>
  <cols>
    <col min="4" max="4" width="10.42578125" customWidth="1"/>
    <col min="5" max="5" width="13.42578125" customWidth="1"/>
    <col min="6" max="6" width="23.28515625" bestFit="1" customWidth="1"/>
    <col min="7" max="7" width="13.28515625" bestFit="1" customWidth="1"/>
    <col min="9" max="9" width="18.28515625" bestFit="1" customWidth="1"/>
    <col min="11" max="11" width="13.28515625" bestFit="1" customWidth="1"/>
    <col min="12" max="15" width="12.28515625" bestFit="1" customWidth="1"/>
  </cols>
  <sheetData>
    <row r="1" spans="2:15" x14ac:dyDescent="0.25">
      <c r="B1" s="21" t="s">
        <v>41</v>
      </c>
      <c r="G1" s="21"/>
      <c r="H1" s="21" t="s">
        <v>3</v>
      </c>
      <c r="N1" s="22" t="s">
        <v>42</v>
      </c>
      <c r="O1" s="119" t="s">
        <v>266</v>
      </c>
    </row>
    <row r="2" spans="2:15" ht="21" x14ac:dyDescent="0.35">
      <c r="D2" s="18"/>
      <c r="E2" s="18"/>
      <c r="F2" s="18" t="s">
        <v>109</v>
      </c>
      <c r="G2" s="18"/>
      <c r="H2" s="18"/>
      <c r="I2" s="18"/>
      <c r="J2" s="18"/>
      <c r="K2" s="18"/>
      <c r="L2" s="18"/>
      <c r="M2" s="18"/>
      <c r="N2" s="18"/>
      <c r="O2" s="18"/>
    </row>
    <row r="3" spans="2:15" ht="15.75" thickBot="1" x14ac:dyDescent="0.3">
      <c r="J3" s="46">
        <v>2024</v>
      </c>
      <c r="K3" s="46">
        <f>J3+1</f>
        <v>2025</v>
      </c>
      <c r="L3" s="46">
        <f>K3+1</f>
        <v>2026</v>
      </c>
      <c r="M3" s="46">
        <f>L3+1</f>
        <v>2027</v>
      </c>
      <c r="N3" s="46">
        <f>M3+1</f>
        <v>2028</v>
      </c>
      <c r="O3" s="46">
        <f>N3+1</f>
        <v>2029</v>
      </c>
    </row>
    <row r="4" spans="2:15" s="1" customFormat="1" ht="15.75" thickTop="1" x14ac:dyDescent="0.25">
      <c r="B4" s="34" t="s">
        <v>10</v>
      </c>
      <c r="C4" s="33"/>
    </row>
    <row r="5" spans="2:15" x14ac:dyDescent="0.25">
      <c r="J5" s="35"/>
      <c r="K5" s="35"/>
      <c r="L5" s="35"/>
      <c r="M5" s="35"/>
      <c r="N5" s="35"/>
      <c r="O5" s="35"/>
    </row>
    <row r="6" spans="2:15" x14ac:dyDescent="0.25">
      <c r="C6" s="48" t="s">
        <v>69</v>
      </c>
      <c r="J6" s="35"/>
      <c r="K6" s="36">
        <f>INDEX('Input Data'!$E$19:$E$21,'Input Data'!$D$1)*('Input Data'!L25*'Input Data'!L5*'Input Data'!L6*'Input Data'!L7)</f>
        <v>31248000</v>
      </c>
      <c r="L6" s="36">
        <f>INDEX('Input Data'!$E$19:$E$21,'Input Data'!$D$1)*('Input Data'!M25*'Input Data'!M5*'Input Data'!M6*'Input Data'!M7)</f>
        <v>35766460.799999997</v>
      </c>
      <c r="M6" s="36">
        <f>INDEX('Input Data'!$E$19:$E$21,'Input Data'!$D$1)*('Input Data'!N25*'Input Data'!N5*'Input Data'!N6*'Input Data'!N7)</f>
        <v>40773765.312000006</v>
      </c>
      <c r="N6" s="36">
        <f>INDEX('Input Data'!$E$19:$E$21,'Input Data'!$D$1)*('Input Data'!O25*'Input Data'!O5*'Input Data'!O6*'Input Data'!O7)</f>
        <v>46482092.455680013</v>
      </c>
      <c r="O6" s="36">
        <f>INDEX('Input Data'!$E$19:$E$21,'Input Data'!$D$1)*('Input Data'!P25*'Input Data'!P5*'Input Data'!P6*'Input Data'!P7)</f>
        <v>52989585.399475224</v>
      </c>
    </row>
    <row r="7" spans="2:15" ht="15.75" thickBot="1" x14ac:dyDescent="0.3">
      <c r="C7" s="48" t="s">
        <v>70</v>
      </c>
      <c r="J7" s="35"/>
      <c r="K7" s="50">
        <f>INDEX('Input Data'!$E$19:$E$21,'Input Data'!$D$1)*('Input Data'!L26*'Input Data'!L5*'Input Data'!L6*'Input Data'!L7)</f>
        <v>25200000</v>
      </c>
      <c r="L7" s="50">
        <f>INDEX('Input Data'!$E$19:$E$21,'Input Data'!$D$1)*('Input Data'!M26*'Input Data'!M5*'Input Data'!M6*'Input Data'!M7)</f>
        <v>28843920</v>
      </c>
      <c r="M7" s="50">
        <f>INDEX('Input Data'!$E$19:$E$21,'Input Data'!$D$1)*('Input Data'!N26*'Input Data'!N5*'Input Data'!N6*'Input Data'!N7)</f>
        <v>32882068.800000004</v>
      </c>
      <c r="N7" s="50">
        <f>INDEX('Input Data'!$E$19:$E$21,'Input Data'!$D$1)*('Input Data'!O26*'Input Data'!O5*'Input Data'!O6*'Input Data'!O7)</f>
        <v>37485558.432000011</v>
      </c>
      <c r="O7" s="50">
        <f>INDEX('Input Data'!$E$19:$E$21,'Input Data'!$D$1)*('Input Data'!P26*'Input Data'!P5*'Input Data'!P6*'Input Data'!P7)</f>
        <v>42733536.612480015</v>
      </c>
    </row>
    <row r="8" spans="2:15" ht="16.5" thickTop="1" thickBot="1" x14ac:dyDescent="0.3">
      <c r="J8" s="35"/>
      <c r="K8" s="49">
        <f>SUM(K6:K7)</f>
        <v>56448000</v>
      </c>
      <c r="L8" s="49">
        <f>SUM(L6:L7)</f>
        <v>64610380.799999997</v>
      </c>
      <c r="M8" s="49">
        <f>SUM(M6:M7)</f>
        <v>73655834.112000018</v>
      </c>
      <c r="N8" s="49">
        <f>SUM(N6:N7)</f>
        <v>83967650.887680024</v>
      </c>
      <c r="O8" s="49">
        <f>SUM(O6:O7)</f>
        <v>95723122.011955231</v>
      </c>
    </row>
    <row r="9" spans="2:15" ht="15.75" thickTop="1" x14ac:dyDescent="0.25">
      <c r="J9" s="35"/>
      <c r="K9" s="35"/>
      <c r="L9" s="35"/>
      <c r="M9" s="35"/>
      <c r="N9" s="35"/>
      <c r="O9" s="35"/>
    </row>
    <row r="10" spans="2:15" ht="15.75" thickBot="1" x14ac:dyDescent="0.3">
      <c r="C10" s="48" t="s">
        <v>60</v>
      </c>
      <c r="J10" s="35"/>
      <c r="K10" s="35">
        <f>K8*'Input Data'!$E$11</f>
        <v>0</v>
      </c>
      <c r="L10" s="35">
        <f>L8*'Input Data'!$E$11</f>
        <v>0</v>
      </c>
      <c r="M10" s="35">
        <f>M8*'Input Data'!$E$11</f>
        <v>0</v>
      </c>
      <c r="N10" s="35">
        <f>N8*'Input Data'!$E$11</f>
        <v>0</v>
      </c>
      <c r="O10" s="35">
        <f>O8*'Input Data'!$E$11</f>
        <v>0</v>
      </c>
    </row>
    <row r="11" spans="2:15" ht="16.5" thickTop="1" thickBot="1" x14ac:dyDescent="0.3">
      <c r="C11" s="48" t="s">
        <v>111</v>
      </c>
      <c r="J11" s="35"/>
      <c r="K11" s="51">
        <f>K8-K10</f>
        <v>56448000</v>
      </c>
      <c r="L11" s="51">
        <f>L8-L10</f>
        <v>64610380.799999997</v>
      </c>
      <c r="M11" s="51">
        <f>M8-M10</f>
        <v>73655834.112000018</v>
      </c>
      <c r="N11" s="51">
        <f>N8-N10</f>
        <v>83967650.887680024</v>
      </c>
      <c r="O11" s="51">
        <f>O8-O10</f>
        <v>95723122.011955231</v>
      </c>
    </row>
    <row r="12" spans="2:15" ht="15.75" thickTop="1" x14ac:dyDescent="0.25">
      <c r="J12" s="35"/>
      <c r="K12" s="35"/>
      <c r="L12" s="35"/>
      <c r="M12" s="35"/>
      <c r="N12" s="35"/>
      <c r="O12" s="35"/>
    </row>
    <row r="13" spans="2:15" s="1" customFormat="1" x14ac:dyDescent="0.25">
      <c r="B13" s="34" t="s">
        <v>71</v>
      </c>
      <c r="C13" s="33"/>
    </row>
    <row r="14" spans="2:15" x14ac:dyDescent="0.25">
      <c r="J14" s="35"/>
      <c r="K14" s="35"/>
      <c r="L14" s="35"/>
      <c r="M14" s="35"/>
      <c r="N14" s="35"/>
      <c r="O14" s="35"/>
    </row>
    <row r="15" spans="2:15" x14ac:dyDescent="0.25">
      <c r="C15" s="48" t="s">
        <v>75</v>
      </c>
      <c r="J15" s="35"/>
      <c r="K15" s="36">
        <f>SUM('Input Data'!L30:L32)*Workings!K8</f>
        <v>14111999.999999998</v>
      </c>
      <c r="L15" s="36">
        <f>SUM('Input Data'!M30:M32)*Workings!L8</f>
        <v>16152595.199999997</v>
      </c>
      <c r="M15" s="36">
        <f>SUM('Input Data'!N30:N32)*Workings!M8</f>
        <v>18413958.528000001</v>
      </c>
      <c r="N15" s="36">
        <f>SUM('Input Data'!O30:O32)*Workings!N8</f>
        <v>20991912.721920002</v>
      </c>
      <c r="O15" s="36">
        <f>SUM('Input Data'!P30:P32)*Workings!O8</f>
        <v>23930780.502988804</v>
      </c>
    </row>
    <row r="16" spans="2:15" ht="15.75" thickBot="1" x14ac:dyDescent="0.3">
      <c r="C16" s="48" t="s">
        <v>112</v>
      </c>
      <c r="J16" s="35"/>
      <c r="K16" s="52">
        <f>'Input Data'!L34*Workings!K8</f>
        <v>2822400</v>
      </c>
      <c r="L16" s="52">
        <f>'Input Data'!M34*Workings!L8</f>
        <v>3230519.04</v>
      </c>
      <c r="M16" s="52">
        <f>'Input Data'!N34*Workings!M8</f>
        <v>3682791.7056000009</v>
      </c>
      <c r="N16" s="52">
        <f>'Input Data'!O34*Workings!N8</f>
        <v>4198382.5443840018</v>
      </c>
      <c r="O16" s="52">
        <f>'Input Data'!P34*Workings!O8</f>
        <v>4786156.1005977616</v>
      </c>
    </row>
    <row r="17" spans="2:15" ht="16.5" thickTop="1" thickBot="1" x14ac:dyDescent="0.3">
      <c r="J17" s="35"/>
      <c r="K17" s="51">
        <f>SUM(K15:K16)</f>
        <v>16934400</v>
      </c>
      <c r="L17" s="51">
        <f>SUM(L15:L16)</f>
        <v>19383114.239999998</v>
      </c>
      <c r="M17" s="51">
        <f>SUM(M15:M16)</f>
        <v>22096750.233600002</v>
      </c>
      <c r="N17" s="51">
        <f>SUM(N15:N16)</f>
        <v>25190295.266304005</v>
      </c>
      <c r="O17" s="51">
        <f>SUM(O15:O16)</f>
        <v>28716936.603586566</v>
      </c>
    </row>
    <row r="18" spans="2:15" ht="15.75" thickTop="1" x14ac:dyDescent="0.25">
      <c r="J18" s="35"/>
      <c r="K18" s="30"/>
      <c r="L18" s="35"/>
      <c r="M18" s="35"/>
      <c r="N18" s="35"/>
      <c r="O18" s="35"/>
    </row>
    <row r="19" spans="2:15" x14ac:dyDescent="0.25">
      <c r="C19" s="48" t="s">
        <v>61</v>
      </c>
      <c r="J19" s="35"/>
      <c r="K19" s="36">
        <f>'Input Data'!$E$13*Workings!K15</f>
        <v>2822400</v>
      </c>
      <c r="L19" s="36">
        <f>'Input Data'!$E$13*Workings!L15</f>
        <v>3230519.0399999996</v>
      </c>
      <c r="M19" s="36">
        <f>'Input Data'!$E$13*Workings!M15</f>
        <v>3682791.7056000005</v>
      </c>
      <c r="N19" s="36">
        <f>'Input Data'!$E$13*Workings!N15</f>
        <v>4198382.5443840008</v>
      </c>
      <c r="O19" s="36">
        <f>'Input Data'!$E$13*Workings!O15</f>
        <v>4786156.1005977606</v>
      </c>
    </row>
    <row r="20" spans="2:15" x14ac:dyDescent="0.25">
      <c r="C20" s="48" t="s">
        <v>113</v>
      </c>
      <c r="J20" s="35"/>
      <c r="K20" s="36">
        <f>K17*'Input Data'!$E$12</f>
        <v>5927040</v>
      </c>
      <c r="L20" s="36">
        <f>L17*'Input Data'!$E$12</f>
        <v>6784089.9839999992</v>
      </c>
      <c r="M20" s="36">
        <f>M17*'Input Data'!$E$12</f>
        <v>7733862.5817600004</v>
      </c>
      <c r="N20" s="36">
        <f>N17*'Input Data'!$E$12</f>
        <v>8816603.3432064019</v>
      </c>
      <c r="O20" s="36">
        <f>O17*'Input Data'!$E$12</f>
        <v>10050927.811255297</v>
      </c>
    </row>
    <row r="21" spans="2:15" x14ac:dyDescent="0.25">
      <c r="J21" s="35"/>
      <c r="K21" s="35"/>
      <c r="L21" s="35"/>
      <c r="M21" s="35"/>
      <c r="N21" s="35"/>
      <c r="O21" s="35"/>
    </row>
    <row r="22" spans="2:15" s="1" customFormat="1" x14ac:dyDescent="0.25">
      <c r="B22" s="34" t="s">
        <v>114</v>
      </c>
      <c r="C22" s="33"/>
    </row>
    <row r="23" spans="2:15" s="8" customFormat="1" x14ac:dyDescent="0.25">
      <c r="B23" s="53"/>
      <c r="C23" s="54" t="s">
        <v>89</v>
      </c>
    </row>
    <row r="24" spans="2:15" s="8" customFormat="1" x14ac:dyDescent="0.25">
      <c r="B24" s="53"/>
      <c r="C24" s="54"/>
      <c r="D24" t="s">
        <v>94</v>
      </c>
      <c r="K24" s="41">
        <f>'Input Data'!L46*'Input Data'!L55*'Input Data'!$L$7</f>
        <v>1800000</v>
      </c>
      <c r="L24" s="41">
        <f>'Input Data'!M46*'Input Data'!M55*'Input Data'!$L$7</f>
        <v>1800000</v>
      </c>
      <c r="M24" s="41">
        <f>'Input Data'!N46*'Input Data'!N55*'Input Data'!$L$7</f>
        <v>1800000</v>
      </c>
      <c r="N24" s="41">
        <f>'Input Data'!O46*'Input Data'!O55*'Input Data'!$L$7</f>
        <v>1800000</v>
      </c>
      <c r="O24" s="41">
        <f>'Input Data'!P46*'Input Data'!P55*'Input Data'!$L$7</f>
        <v>1800000</v>
      </c>
    </row>
    <row r="25" spans="2:15" s="8" customFormat="1" x14ac:dyDescent="0.25">
      <c r="B25" s="53"/>
      <c r="C25" s="54"/>
      <c r="D25" t="s">
        <v>76</v>
      </c>
      <c r="K25" s="41">
        <f>'Input Data'!L47*'Input Data'!L56*'Input Data'!$L$7</f>
        <v>600000</v>
      </c>
      <c r="L25" s="41">
        <f>'Input Data'!M47*'Input Data'!M56*'Input Data'!$L$7</f>
        <v>600000</v>
      </c>
      <c r="M25" s="41">
        <f>'Input Data'!N47*'Input Data'!N56*'Input Data'!$L$7</f>
        <v>600000</v>
      </c>
      <c r="N25" s="41">
        <f>'Input Data'!O47*'Input Data'!O56*'Input Data'!$L$7</f>
        <v>600000</v>
      </c>
      <c r="O25" s="41">
        <f>'Input Data'!P47*'Input Data'!P56*'Input Data'!$L$7</f>
        <v>600000</v>
      </c>
    </row>
    <row r="26" spans="2:15" s="8" customFormat="1" x14ac:dyDescent="0.25">
      <c r="B26" s="53"/>
      <c r="C26" s="54"/>
      <c r="D26" t="s">
        <v>85</v>
      </c>
      <c r="K26" s="41">
        <f>'Input Data'!L48*'Input Data'!L57*'Input Data'!$L$7</f>
        <v>600000</v>
      </c>
      <c r="L26" s="41">
        <f>'Input Data'!M48*'Input Data'!M57*'Input Data'!$L$7</f>
        <v>600000</v>
      </c>
      <c r="M26" s="41">
        <f>'Input Data'!N48*'Input Data'!N57*'Input Data'!$L$7</f>
        <v>600000</v>
      </c>
      <c r="N26" s="41">
        <f>'Input Data'!O48*'Input Data'!O57*'Input Data'!$L$7</f>
        <v>600000</v>
      </c>
      <c r="O26" s="41">
        <f>'Input Data'!P48*'Input Data'!P57*'Input Data'!$L$7</f>
        <v>600000</v>
      </c>
    </row>
    <row r="27" spans="2:15" s="8" customFormat="1" x14ac:dyDescent="0.25">
      <c r="B27" s="53"/>
      <c r="C27" s="54"/>
      <c r="D27" t="s">
        <v>77</v>
      </c>
      <c r="K27" s="41">
        <f>'Input Data'!L49*'Input Data'!L58*'Input Data'!$L$7</f>
        <v>420000</v>
      </c>
      <c r="L27" s="41">
        <f>'Input Data'!M49*'Input Data'!M58*'Input Data'!$L$7</f>
        <v>420000</v>
      </c>
      <c r="M27" s="41">
        <f>'Input Data'!N49*'Input Data'!N58*'Input Data'!$L$7</f>
        <v>420000</v>
      </c>
      <c r="N27" s="41">
        <f>'Input Data'!O49*'Input Data'!O58*'Input Data'!$L$7</f>
        <v>420000</v>
      </c>
      <c r="O27" s="41">
        <f>'Input Data'!P49*'Input Data'!P58*'Input Data'!$L$7</f>
        <v>420000</v>
      </c>
    </row>
    <row r="28" spans="2:15" s="8" customFormat="1" x14ac:dyDescent="0.25">
      <c r="B28" s="53"/>
      <c r="C28" s="54"/>
      <c r="D28" t="s">
        <v>81</v>
      </c>
      <c r="K28" s="41">
        <f>'Input Data'!L50*'Input Data'!L59*'Input Data'!$L$7</f>
        <v>900000</v>
      </c>
      <c r="L28" s="41">
        <f>'Input Data'!M50*'Input Data'!M59*'Input Data'!$L$7</f>
        <v>900000</v>
      </c>
      <c r="M28" s="41">
        <f>'Input Data'!N50*'Input Data'!N59*'Input Data'!$L$7</f>
        <v>900000</v>
      </c>
      <c r="N28" s="41">
        <f>'Input Data'!O50*'Input Data'!O59*'Input Data'!$L$7</f>
        <v>900000</v>
      </c>
      <c r="O28" s="41">
        <f>'Input Data'!P50*'Input Data'!P59*'Input Data'!$L$7</f>
        <v>900000</v>
      </c>
    </row>
    <row r="29" spans="2:15" s="8" customFormat="1" x14ac:dyDescent="0.25">
      <c r="B29" s="53"/>
      <c r="C29" s="54"/>
      <c r="D29" t="s">
        <v>78</v>
      </c>
      <c r="K29" s="41">
        <f>'Input Data'!L51*'Input Data'!L60*'Input Data'!$L$7</f>
        <v>600000</v>
      </c>
      <c r="L29" s="41">
        <f>'Input Data'!M51*'Input Data'!M60*'Input Data'!$L$7</f>
        <v>600000</v>
      </c>
      <c r="M29" s="41">
        <f>'Input Data'!N51*'Input Data'!N60*'Input Data'!$L$7</f>
        <v>600000</v>
      </c>
      <c r="N29" s="41">
        <f>'Input Data'!O51*'Input Data'!O60*'Input Data'!$L$7</f>
        <v>600000</v>
      </c>
      <c r="O29" s="41">
        <f>'Input Data'!P51*'Input Data'!P60*'Input Data'!$L$7</f>
        <v>600000</v>
      </c>
    </row>
    <row r="30" spans="2:15" s="8" customFormat="1" x14ac:dyDescent="0.25">
      <c r="B30" s="53"/>
      <c r="C30" s="54"/>
      <c r="D30" t="s">
        <v>79</v>
      </c>
      <c r="K30" s="41">
        <f>'Input Data'!L52*'Input Data'!L61*'Input Data'!$L$7</f>
        <v>360000</v>
      </c>
      <c r="L30" s="41">
        <f>'Input Data'!M52*'Input Data'!M61*'Input Data'!$L$7</f>
        <v>360000</v>
      </c>
      <c r="M30" s="41">
        <f>'Input Data'!N52*'Input Data'!N61*'Input Data'!$L$7</f>
        <v>360000</v>
      </c>
      <c r="N30" s="41">
        <f>'Input Data'!O52*'Input Data'!O61*'Input Data'!$L$7</f>
        <v>360000</v>
      </c>
      <c r="O30" s="41">
        <f>'Input Data'!P52*'Input Data'!P61*'Input Data'!$L$7</f>
        <v>360000</v>
      </c>
    </row>
    <row r="31" spans="2:15" s="8" customFormat="1" ht="15.75" thickBot="1" x14ac:dyDescent="0.3">
      <c r="B31" s="53"/>
      <c r="C31" s="54"/>
      <c r="D31" t="s">
        <v>80</v>
      </c>
      <c r="K31" s="40">
        <f>'Input Data'!L53*'Input Data'!L62*'Input Data'!$L$7</f>
        <v>240000</v>
      </c>
      <c r="L31" s="40">
        <f>'Input Data'!M53*'Input Data'!M62*'Input Data'!$L$7</f>
        <v>240000</v>
      </c>
      <c r="M31" s="40">
        <f>'Input Data'!N53*'Input Data'!N62*'Input Data'!$L$7</f>
        <v>240000</v>
      </c>
      <c r="N31" s="40">
        <f>'Input Data'!O53*'Input Data'!O62*'Input Data'!$L$7</f>
        <v>240000</v>
      </c>
      <c r="O31" s="40">
        <f>'Input Data'!P53*'Input Data'!P62*'Input Data'!$L$7</f>
        <v>240000</v>
      </c>
    </row>
    <row r="32" spans="2:15" s="8" customFormat="1" ht="16.5" thickTop="1" thickBot="1" x14ac:dyDescent="0.3">
      <c r="B32" s="53"/>
      <c r="C32" s="54"/>
      <c r="D32"/>
      <c r="K32" s="55">
        <f>SUM(K24:K31)</f>
        <v>5520000</v>
      </c>
      <c r="L32" s="55">
        <f>SUM(L24:L31)</f>
        <v>5520000</v>
      </c>
      <c r="M32" s="55">
        <f>SUM(M24:M31)</f>
        <v>5520000</v>
      </c>
      <c r="N32" s="55">
        <f>SUM(N24:N31)</f>
        <v>5520000</v>
      </c>
      <c r="O32" s="55">
        <f>SUM(O24:O31)</f>
        <v>5520000</v>
      </c>
    </row>
    <row r="33" spans="2:15" ht="15.75" thickTop="1" x14ac:dyDescent="0.25">
      <c r="C33" t="s">
        <v>96</v>
      </c>
      <c r="J33" s="35"/>
      <c r="K33" s="72">
        <f>'Input Data'!L37*'Input Data'!L7</f>
        <v>1800000</v>
      </c>
      <c r="L33" s="72">
        <f>'Input Data'!M37*'Input Data'!M7</f>
        <v>1800000</v>
      </c>
      <c r="M33" s="72">
        <f>'Input Data'!N37*'Input Data'!N7</f>
        <v>1800000</v>
      </c>
      <c r="N33" s="72">
        <f>'Input Data'!O37*'Input Data'!O7</f>
        <v>1800000</v>
      </c>
      <c r="O33" s="72">
        <f>'Input Data'!P37*'Input Data'!P7</f>
        <v>1800000</v>
      </c>
    </row>
    <row r="34" spans="2:15" x14ac:dyDescent="0.25">
      <c r="C34" t="s">
        <v>90</v>
      </c>
      <c r="J34" s="35"/>
      <c r="K34" s="36">
        <f>'Input Data'!L38*Workings!K8</f>
        <v>564480</v>
      </c>
      <c r="L34" s="36">
        <f>'Input Data'!M38*Workings!L8</f>
        <v>646103.80799999996</v>
      </c>
      <c r="M34" s="36">
        <f>'Input Data'!N38*Workings!M8</f>
        <v>736558.34112000023</v>
      </c>
      <c r="N34" s="36">
        <f>'Input Data'!O38*Workings!N8</f>
        <v>839676.5088768003</v>
      </c>
      <c r="O34" s="36">
        <f>'Input Data'!P38*Workings!O8</f>
        <v>957231.22011955234</v>
      </c>
    </row>
    <row r="35" spans="2:15" x14ac:dyDescent="0.25">
      <c r="C35" t="s">
        <v>91</v>
      </c>
      <c r="J35" s="35"/>
      <c r="K35" s="36">
        <v>0</v>
      </c>
      <c r="L35" s="36">
        <f>'Input Data'!M39</f>
        <v>2000000</v>
      </c>
      <c r="M35" s="36">
        <f>'Input Data'!N39</f>
        <v>2000000</v>
      </c>
      <c r="N35" s="36">
        <f>'Input Data'!O39</f>
        <v>2000000</v>
      </c>
      <c r="O35" s="36">
        <f>'Input Data'!P39</f>
        <v>2000000</v>
      </c>
    </row>
    <row r="36" spans="2:15" x14ac:dyDescent="0.25">
      <c r="C36" t="s">
        <v>95</v>
      </c>
      <c r="J36" s="35"/>
      <c r="K36" s="36">
        <f>'Input Data'!L40*'Input Data'!L7</f>
        <v>120000</v>
      </c>
      <c r="L36" s="36">
        <f>'Input Data'!M40*'Input Data'!M7</f>
        <v>120000</v>
      </c>
      <c r="M36" s="36">
        <f>'Input Data'!N40*'Input Data'!N7</f>
        <v>120000</v>
      </c>
      <c r="N36" s="36">
        <f>'Input Data'!O40*'Input Data'!O7</f>
        <v>120000</v>
      </c>
      <c r="O36" s="36">
        <f>'Input Data'!P40*'Input Data'!P7</f>
        <v>120000</v>
      </c>
    </row>
    <row r="37" spans="2:15" x14ac:dyDescent="0.25">
      <c r="C37" t="s">
        <v>99</v>
      </c>
      <c r="J37" s="35"/>
      <c r="K37" s="36">
        <f>'Input Data'!L41</f>
        <v>100000</v>
      </c>
      <c r="L37" s="36">
        <f>'Input Data'!M41</f>
        <v>100000</v>
      </c>
      <c r="M37" s="36">
        <f>'Input Data'!N41</f>
        <v>100000</v>
      </c>
      <c r="N37" s="36">
        <f>'Input Data'!O41</f>
        <v>100000</v>
      </c>
      <c r="O37" s="36">
        <f>'Input Data'!P41</f>
        <v>100000</v>
      </c>
    </row>
    <row r="38" spans="2:15" x14ac:dyDescent="0.25">
      <c r="C38" t="s">
        <v>92</v>
      </c>
      <c r="J38" s="35"/>
      <c r="K38" s="36">
        <f>INDEX('Input Data'!$E$19:$E$21,'Input Data'!$D$1)*('Input Data'!L42*'Input Data'!L7)</f>
        <v>2400000</v>
      </c>
      <c r="L38" s="36">
        <f>INDEX('Input Data'!$E$19:$E$21,'Input Data'!$D$1)*('Input Data'!M42*'Input Data'!M7)</f>
        <v>2400000</v>
      </c>
      <c r="M38" s="36">
        <f>INDEX('Input Data'!$E$19:$E$21,'Input Data'!$D$1)*('Input Data'!N42*'Input Data'!N7)</f>
        <v>2400000</v>
      </c>
      <c r="N38" s="36">
        <f>INDEX('Input Data'!$E$19:$E$21,'Input Data'!$D$1)*('Input Data'!O42*'Input Data'!O7)</f>
        <v>2400000</v>
      </c>
      <c r="O38" s="36">
        <f>INDEX('Input Data'!$E$19:$E$21,'Input Data'!$D$1)*('Input Data'!P42*'Input Data'!P7)</f>
        <v>2400000</v>
      </c>
    </row>
    <row r="39" spans="2:15" x14ac:dyDescent="0.25">
      <c r="C39" t="s">
        <v>93</v>
      </c>
      <c r="J39" s="35"/>
      <c r="K39" s="36">
        <f>'Input Data'!L43*'Input Data'!L7</f>
        <v>1800000</v>
      </c>
      <c r="L39" s="36">
        <f>'Input Data'!M43*'Input Data'!M7</f>
        <v>1800000</v>
      </c>
      <c r="M39" s="36">
        <f>'Input Data'!N43*'Input Data'!N7</f>
        <v>1800000</v>
      </c>
      <c r="N39" s="36">
        <f>'Input Data'!O43*'Input Data'!O7</f>
        <v>1800000</v>
      </c>
      <c r="O39" s="36">
        <f>'Input Data'!P43*'Input Data'!P7</f>
        <v>1800000</v>
      </c>
    </row>
    <row r="40" spans="2:15" x14ac:dyDescent="0.25">
      <c r="C40" t="s">
        <v>132</v>
      </c>
      <c r="J40" s="35"/>
      <c r="K40" s="36">
        <f>'Input Data'!L115</f>
        <v>2025000</v>
      </c>
      <c r="L40" s="36">
        <f>'Input Data'!H115</f>
        <v>0</v>
      </c>
      <c r="M40" s="36">
        <f>'Input Data'!I115</f>
        <v>0</v>
      </c>
      <c r="N40" s="36">
        <f>'Input Data'!J115</f>
        <v>0</v>
      </c>
      <c r="O40" s="36">
        <f>'Input Data'!K115</f>
        <v>0</v>
      </c>
    </row>
    <row r="41" spans="2:15" ht="15.75" thickBot="1" x14ac:dyDescent="0.3">
      <c r="J41" s="35"/>
      <c r="K41" s="62">
        <f>SUM(K32:K39)</f>
        <v>12304480</v>
      </c>
      <c r="L41" s="62">
        <f>SUM(L32:L39)</f>
        <v>14386103.808</v>
      </c>
      <c r="M41" s="62">
        <f>SUM(M32:M39)</f>
        <v>14476558.341120001</v>
      </c>
      <c r="N41" s="62">
        <f>SUM(N32:N39)</f>
        <v>14579676.508876801</v>
      </c>
      <c r="O41" s="62">
        <f>SUM(O32:O39)</f>
        <v>14697231.220119553</v>
      </c>
    </row>
    <row r="42" spans="2:15" ht="15.75" thickTop="1" x14ac:dyDescent="0.25">
      <c r="J42" s="35"/>
      <c r="K42" s="35"/>
      <c r="L42" s="35"/>
      <c r="M42" s="35"/>
      <c r="N42" s="35"/>
      <c r="O42" s="35"/>
    </row>
    <row r="43" spans="2:15" s="1" customFormat="1" x14ac:dyDescent="0.25">
      <c r="B43" s="34" t="s">
        <v>17</v>
      </c>
      <c r="C43" s="33"/>
    </row>
    <row r="44" spans="2:15" x14ac:dyDescent="0.25">
      <c r="C44" s="48" t="s">
        <v>102</v>
      </c>
      <c r="G44" s="24" t="s">
        <v>104</v>
      </c>
      <c r="H44" s="24" t="s">
        <v>115</v>
      </c>
      <c r="J44" s="35"/>
      <c r="K44" s="35"/>
      <c r="L44" s="35"/>
      <c r="M44" s="35"/>
      <c r="N44" s="35"/>
      <c r="O44" s="35"/>
    </row>
    <row r="45" spans="2:15" x14ac:dyDescent="0.25">
      <c r="D45" s="24" t="s">
        <v>103</v>
      </c>
      <c r="J45" s="35"/>
      <c r="K45" s="57"/>
      <c r="L45" s="57"/>
      <c r="M45" s="57"/>
      <c r="N45" s="57"/>
      <c r="O45" s="57"/>
    </row>
    <row r="46" spans="2:15" x14ac:dyDescent="0.25">
      <c r="D46" s="24"/>
      <c r="E46" t="s">
        <v>116</v>
      </c>
      <c r="G46" s="44">
        <v>5</v>
      </c>
      <c r="H46" s="35">
        <v>200000</v>
      </c>
      <c r="J46" s="35"/>
      <c r="K46" s="36">
        <f>'Input Data'!L72*'Input Data'!L71</f>
        <v>2000000</v>
      </c>
      <c r="L46" s="36">
        <f>'Input Data'!M72*'Input Data'!M71</f>
        <v>0</v>
      </c>
      <c r="M46" s="36">
        <f>'Input Data'!N72*'Input Data'!N71</f>
        <v>0</v>
      </c>
      <c r="N46" s="36">
        <f>'Input Data'!O72*'Input Data'!O71</f>
        <v>850000</v>
      </c>
      <c r="O46" s="36">
        <f>'Input Data'!P72*'Input Data'!P71</f>
        <v>0</v>
      </c>
    </row>
    <row r="47" spans="2:15" x14ac:dyDescent="0.25">
      <c r="D47" s="24"/>
      <c r="E47" t="s">
        <v>117</v>
      </c>
      <c r="G47" s="44">
        <v>5</v>
      </c>
      <c r="H47" s="35">
        <v>30000</v>
      </c>
      <c r="J47" s="35"/>
      <c r="K47" s="36">
        <f>'Input Data'!L78*'Input Data'!L77</f>
        <v>300000</v>
      </c>
      <c r="L47" s="36">
        <f>'Input Data'!M78*'Input Data'!M77</f>
        <v>0</v>
      </c>
      <c r="M47" s="36">
        <f>'Input Data'!N78*'Input Data'!N77</f>
        <v>0</v>
      </c>
      <c r="N47" s="36">
        <f>'Input Data'!O78*'Input Data'!O77</f>
        <v>0</v>
      </c>
      <c r="O47" s="36">
        <f>'Input Data'!P78*'Input Data'!P77</f>
        <v>0</v>
      </c>
    </row>
    <row r="48" spans="2:15" x14ac:dyDescent="0.25">
      <c r="D48" s="24"/>
      <c r="E48" t="s">
        <v>118</v>
      </c>
      <c r="G48" s="44">
        <v>5</v>
      </c>
      <c r="H48" s="35">
        <v>35000</v>
      </c>
      <c r="J48" s="35"/>
      <c r="K48" s="36">
        <f>'Input Data'!L84*'Input Data'!L83</f>
        <v>1400000</v>
      </c>
      <c r="L48" s="36">
        <f>'Input Data'!M84*'Input Data'!M83</f>
        <v>0</v>
      </c>
      <c r="M48" s="36">
        <f>'Input Data'!N84*'Input Data'!N83</f>
        <v>0</v>
      </c>
      <c r="N48" s="36">
        <f>'Input Data'!O84*'Input Data'!O83</f>
        <v>0</v>
      </c>
      <c r="O48" s="36">
        <f>'Input Data'!P84*'Input Data'!P83</f>
        <v>0</v>
      </c>
    </row>
    <row r="49" spans="3:15" x14ac:dyDescent="0.25">
      <c r="D49" s="24"/>
      <c r="E49" t="s">
        <v>119</v>
      </c>
      <c r="G49" s="44">
        <v>5</v>
      </c>
      <c r="H49" s="35">
        <v>8000</v>
      </c>
      <c r="J49" s="35"/>
      <c r="K49" s="36">
        <f>'Input Data'!L90*'Input Data'!L89</f>
        <v>240000</v>
      </c>
      <c r="L49" s="36">
        <f>'Input Data'!M90*'Input Data'!M89</f>
        <v>0</v>
      </c>
      <c r="M49" s="36">
        <f>'Input Data'!N90*'Input Data'!N89</f>
        <v>0</v>
      </c>
      <c r="N49" s="36">
        <f>'Input Data'!O90*'Input Data'!O89</f>
        <v>0</v>
      </c>
      <c r="O49" s="36">
        <f>'Input Data'!P90*'Input Data'!P89</f>
        <v>0</v>
      </c>
    </row>
    <row r="50" spans="3:15" x14ac:dyDescent="0.25">
      <c r="D50" s="24"/>
      <c r="E50" t="s">
        <v>120</v>
      </c>
      <c r="G50" s="44">
        <v>5</v>
      </c>
      <c r="H50" s="35">
        <v>3000</v>
      </c>
      <c r="J50" s="35"/>
      <c r="K50" s="36">
        <f>'Input Data'!L96*'Input Data'!L95</f>
        <v>60000</v>
      </c>
      <c r="L50" s="36">
        <f>'Input Data'!M96*'Input Data'!M95</f>
        <v>0</v>
      </c>
      <c r="M50" s="36">
        <f>'Input Data'!N96*'Input Data'!N95</f>
        <v>0</v>
      </c>
      <c r="N50" s="36">
        <f>'Input Data'!O96*'Input Data'!O95</f>
        <v>0</v>
      </c>
      <c r="O50" s="36">
        <f>'Input Data'!P96*'Input Data'!P95</f>
        <v>0</v>
      </c>
    </row>
    <row r="51" spans="3:15" x14ac:dyDescent="0.25">
      <c r="D51" s="24"/>
      <c r="E51" t="s">
        <v>121</v>
      </c>
      <c r="G51" s="44">
        <v>5</v>
      </c>
      <c r="H51" s="35">
        <v>200000</v>
      </c>
      <c r="J51" s="35"/>
      <c r="K51" s="36">
        <f>'Input Data'!L102*'Input Data'!L101</f>
        <v>2000000</v>
      </c>
      <c r="L51" s="36">
        <f>'Input Data'!M102*'Input Data'!M101</f>
        <v>0</v>
      </c>
      <c r="M51" s="36">
        <f>'Input Data'!N102*'Input Data'!N101</f>
        <v>0</v>
      </c>
      <c r="N51" s="36">
        <f>'Input Data'!O102*'Input Data'!O101</f>
        <v>0</v>
      </c>
      <c r="O51" s="36">
        <f>'Input Data'!P102*'Input Data'!P101</f>
        <v>0</v>
      </c>
    </row>
    <row r="52" spans="3:15" ht="15.75" thickBot="1" x14ac:dyDescent="0.3">
      <c r="D52" s="24" t="s">
        <v>106</v>
      </c>
      <c r="G52" s="44">
        <v>4</v>
      </c>
      <c r="H52" s="35">
        <v>0</v>
      </c>
      <c r="J52" s="35"/>
      <c r="K52" s="52">
        <f>'Input Data'!L108*'Input Data'!L107</f>
        <v>4000000</v>
      </c>
      <c r="L52" s="52">
        <f>'Input Data'!M108*'Input Data'!M107</f>
        <v>0</v>
      </c>
      <c r="M52" s="52">
        <f>'Input Data'!N108*'Input Data'!N107</f>
        <v>0</v>
      </c>
      <c r="N52" s="52">
        <f>'Input Data'!O108*'Input Data'!O107</f>
        <v>0</v>
      </c>
      <c r="O52" s="52">
        <f>'Input Data'!P108*'Input Data'!P107</f>
        <v>0</v>
      </c>
    </row>
    <row r="53" spans="3:15" ht="16.5" thickTop="1" thickBot="1" x14ac:dyDescent="0.3">
      <c r="J53" s="35"/>
      <c r="K53" s="51">
        <f>SUM(K46:K52)</f>
        <v>10000000</v>
      </c>
      <c r="L53" s="51">
        <f>SUM(L46:L52)</f>
        <v>0</v>
      </c>
      <c r="M53" s="51">
        <f>SUM(M46:M52)</f>
        <v>0</v>
      </c>
      <c r="N53" s="51">
        <f>SUM(N46:N52)</f>
        <v>850000</v>
      </c>
      <c r="O53" s="51">
        <f>SUM(O46:O52)</f>
        <v>0</v>
      </c>
    </row>
    <row r="54" spans="3:15" ht="15.75" thickTop="1" x14ac:dyDescent="0.25">
      <c r="C54" s="48" t="s">
        <v>122</v>
      </c>
      <c r="J54" s="35"/>
      <c r="K54" s="35"/>
      <c r="L54" s="35"/>
      <c r="M54" s="35"/>
      <c r="N54" s="35"/>
      <c r="O54" s="35"/>
    </row>
    <row r="55" spans="3:15" x14ac:dyDescent="0.25">
      <c r="D55" s="24" t="s">
        <v>103</v>
      </c>
      <c r="J55" s="35"/>
      <c r="K55" s="35"/>
      <c r="L55" s="35"/>
      <c r="M55" s="35"/>
      <c r="N55" s="35"/>
      <c r="O55" s="35"/>
    </row>
    <row r="56" spans="3:15" x14ac:dyDescent="0.25">
      <c r="D56" s="24"/>
      <c r="E56" t="s">
        <v>116</v>
      </c>
      <c r="K56" s="36">
        <f>SLN(SUM($K46:K46),$H46,$G46)</f>
        <v>360000</v>
      </c>
      <c r="L56" s="36">
        <f>SLN(SUM($K46:L46),$H46,$G46)</f>
        <v>360000</v>
      </c>
      <c r="M56" s="36">
        <f>SLN(SUM($K46:M46),$H46,$G46)</f>
        <v>360000</v>
      </c>
      <c r="N56" s="36">
        <f>SLN(SUM($K46:N46),$H46,$G46)</f>
        <v>530000</v>
      </c>
      <c r="O56" s="36">
        <f>SLN(SUM($K46:O46),$H46,$G46)</f>
        <v>530000</v>
      </c>
    </row>
    <row r="57" spans="3:15" x14ac:dyDescent="0.25">
      <c r="D57" s="24"/>
      <c r="E57" t="s">
        <v>117</v>
      </c>
      <c r="K57" s="36">
        <f>SLN(SUM($K47:K47),$H47,$G47)</f>
        <v>54000</v>
      </c>
      <c r="L57" s="36">
        <f>SLN(SUM($K47:L47),$H47,$G47)</f>
        <v>54000</v>
      </c>
      <c r="M57" s="36">
        <f>SLN(SUM($K47:M47),$H47,$G47)</f>
        <v>54000</v>
      </c>
      <c r="N57" s="36">
        <f>SLN(SUM($K47:N47),$H47,$G47)</f>
        <v>54000</v>
      </c>
      <c r="O57" s="36">
        <f>SLN(SUM($K47:O47),$H47,$G47)</f>
        <v>54000</v>
      </c>
    </row>
    <row r="58" spans="3:15" x14ac:dyDescent="0.25">
      <c r="D58" s="24"/>
      <c r="E58" t="s">
        <v>118</v>
      </c>
      <c r="K58" s="36">
        <f>SLN(SUM($K48:K48),$H48,$G48)</f>
        <v>273000</v>
      </c>
      <c r="L58" s="36">
        <f>SLN(SUM($K48:L48),$H48,$G48)</f>
        <v>273000</v>
      </c>
      <c r="M58" s="36">
        <f>SLN(SUM($K48:M48),$H48,$G48)</f>
        <v>273000</v>
      </c>
      <c r="N58" s="36">
        <f>SLN(SUM($K48:N48),$H48,$G48)</f>
        <v>273000</v>
      </c>
      <c r="O58" s="36">
        <f>SLN(SUM($K48:O48),$H48,$G48)</f>
        <v>273000</v>
      </c>
    </row>
    <row r="59" spans="3:15" x14ac:dyDescent="0.25">
      <c r="D59" s="24"/>
      <c r="E59" t="s">
        <v>119</v>
      </c>
      <c r="K59" s="36">
        <f>SLN(SUM($K49:K49),$H49,$G49)</f>
        <v>46400</v>
      </c>
      <c r="L59" s="36">
        <f>SLN(SUM($K49:L49),$H49,$G49)</f>
        <v>46400</v>
      </c>
      <c r="M59" s="36">
        <f>SLN(SUM($K49:M49),$H49,$G49)</f>
        <v>46400</v>
      </c>
      <c r="N59" s="36">
        <f>SLN(SUM($K49:N49),$H49,$G49)</f>
        <v>46400</v>
      </c>
      <c r="O59" s="36">
        <f>SLN(SUM($K49:O49),$H49,$G49)</f>
        <v>46400</v>
      </c>
    </row>
    <row r="60" spans="3:15" x14ac:dyDescent="0.25">
      <c r="D60" s="24"/>
      <c r="E60" t="s">
        <v>120</v>
      </c>
      <c r="K60" s="36">
        <f>SLN(SUM($K50:K50),$H50,$G50)</f>
        <v>11400</v>
      </c>
      <c r="L60" s="36">
        <f>SLN(SUM($K50:L50),$H50,$G50)</f>
        <v>11400</v>
      </c>
      <c r="M60" s="36">
        <f>SLN(SUM($K50:M50),$H50,$G50)</f>
        <v>11400</v>
      </c>
      <c r="N60" s="36">
        <f>SLN(SUM($K50:N50),$H50,$G50)</f>
        <v>11400</v>
      </c>
      <c r="O60" s="36">
        <f>SLN(SUM($K50:O50),$H50,$G50)</f>
        <v>11400</v>
      </c>
    </row>
    <row r="61" spans="3:15" x14ac:dyDescent="0.25">
      <c r="D61" s="24"/>
      <c r="E61" t="s">
        <v>121</v>
      </c>
      <c r="K61" s="36">
        <f>SLN(SUM($K51:K51),$H51,$G51)</f>
        <v>360000</v>
      </c>
      <c r="L61" s="36">
        <f>SLN(SUM($K51:L51),$H51,$G51)</f>
        <v>360000</v>
      </c>
      <c r="M61" s="36">
        <f>SLN(SUM($K51:M51),$H51,$G51)</f>
        <v>360000</v>
      </c>
      <c r="N61" s="36">
        <f>SLN(SUM($K51:N51),$H51,$G51)</f>
        <v>360000</v>
      </c>
      <c r="O61" s="36">
        <f>SLN(SUM($K51:O51),$H51,$G51)</f>
        <v>360000</v>
      </c>
    </row>
    <row r="62" spans="3:15" ht="15.75" thickBot="1" x14ac:dyDescent="0.3">
      <c r="D62" s="24" t="s">
        <v>106</v>
      </c>
      <c r="K62" s="52">
        <f>SLN(SUM($K52:K52),$H52,$G52)</f>
        <v>1000000</v>
      </c>
      <c r="L62" s="52">
        <f>SLN(SUM($K52:L52),$H52,$G52)</f>
        <v>1000000</v>
      </c>
      <c r="M62" s="52">
        <f>SLN(SUM($K52:M52),$H52,$G52)</f>
        <v>1000000</v>
      </c>
      <c r="N62" s="52">
        <f>SLN(SUM($K52:N52),$H52,$G52)</f>
        <v>1000000</v>
      </c>
      <c r="O62" s="52">
        <f>SLN(SUM($K52:O52),$H52,$G52)</f>
        <v>1000000</v>
      </c>
    </row>
    <row r="63" spans="3:15" ht="16.5" thickTop="1" thickBot="1" x14ac:dyDescent="0.3">
      <c r="K63" s="58">
        <f>SUM(K56:K62)</f>
        <v>2104800</v>
      </c>
      <c r="L63" s="58">
        <f>SUM(L56:L62)</f>
        <v>2104800</v>
      </c>
      <c r="M63" s="58">
        <f>SUM(M56:M62)</f>
        <v>2104800</v>
      </c>
      <c r="N63" s="58">
        <f>SUM(N56:N62)</f>
        <v>2274800</v>
      </c>
      <c r="O63" s="58">
        <f>SUM(O56:O62)</f>
        <v>2274800</v>
      </c>
    </row>
    <row r="64" spans="3:15" ht="15.75" thickTop="1" x14ac:dyDescent="0.25">
      <c r="K64" s="59"/>
      <c r="L64" s="59"/>
      <c r="M64" s="59"/>
      <c r="N64" s="59"/>
      <c r="O64" s="59"/>
    </row>
    <row r="65" spans="2:15" x14ac:dyDescent="0.25">
      <c r="C65" s="48" t="s">
        <v>123</v>
      </c>
    </row>
    <row r="66" spans="2:15" x14ac:dyDescent="0.25">
      <c r="D66" s="24" t="s">
        <v>103</v>
      </c>
    </row>
    <row r="67" spans="2:15" x14ac:dyDescent="0.25">
      <c r="D67" s="24"/>
      <c r="E67" t="s">
        <v>116</v>
      </c>
      <c r="K67" s="60">
        <f>J67+K56</f>
        <v>360000</v>
      </c>
      <c r="L67" s="60">
        <f>K67+L56</f>
        <v>720000</v>
      </c>
      <c r="M67" s="60">
        <f>L67+M56</f>
        <v>1080000</v>
      </c>
      <c r="N67" s="60">
        <f>M67+N56</f>
        <v>1610000</v>
      </c>
      <c r="O67" s="60">
        <f>N67+O56</f>
        <v>2140000</v>
      </c>
    </row>
    <row r="68" spans="2:15" x14ac:dyDescent="0.25">
      <c r="D68" s="24"/>
      <c r="E68" t="s">
        <v>117</v>
      </c>
      <c r="K68" s="60">
        <f t="shared" ref="K68:O73" si="0">J68+K57</f>
        <v>54000</v>
      </c>
      <c r="L68" s="60">
        <f t="shared" si="0"/>
        <v>108000</v>
      </c>
      <c r="M68" s="60">
        <f t="shared" si="0"/>
        <v>162000</v>
      </c>
      <c r="N68" s="60">
        <f t="shared" si="0"/>
        <v>216000</v>
      </c>
      <c r="O68" s="60">
        <f t="shared" si="0"/>
        <v>270000</v>
      </c>
    </row>
    <row r="69" spans="2:15" x14ac:dyDescent="0.25">
      <c r="D69" s="24"/>
      <c r="E69" t="s">
        <v>118</v>
      </c>
      <c r="K69" s="60">
        <f t="shared" si="0"/>
        <v>273000</v>
      </c>
      <c r="L69" s="60">
        <f t="shared" si="0"/>
        <v>546000</v>
      </c>
      <c r="M69" s="60">
        <f t="shared" si="0"/>
        <v>819000</v>
      </c>
      <c r="N69" s="60">
        <f t="shared" si="0"/>
        <v>1092000</v>
      </c>
      <c r="O69" s="60">
        <f t="shared" si="0"/>
        <v>1365000</v>
      </c>
    </row>
    <row r="70" spans="2:15" x14ac:dyDescent="0.25">
      <c r="D70" s="24"/>
      <c r="E70" t="s">
        <v>119</v>
      </c>
      <c r="K70" s="60">
        <f t="shared" si="0"/>
        <v>46400</v>
      </c>
      <c r="L70" s="60">
        <f t="shared" si="0"/>
        <v>92800</v>
      </c>
      <c r="M70" s="60">
        <f t="shared" si="0"/>
        <v>139200</v>
      </c>
      <c r="N70" s="60">
        <f t="shared" si="0"/>
        <v>185600</v>
      </c>
      <c r="O70" s="60">
        <f t="shared" si="0"/>
        <v>232000</v>
      </c>
    </row>
    <row r="71" spans="2:15" x14ac:dyDescent="0.25">
      <c r="D71" s="24"/>
      <c r="E71" t="s">
        <v>120</v>
      </c>
      <c r="K71" s="60">
        <f t="shared" si="0"/>
        <v>11400</v>
      </c>
      <c r="L71" s="60">
        <f t="shared" si="0"/>
        <v>22800</v>
      </c>
      <c r="M71" s="60">
        <f t="shared" si="0"/>
        <v>34200</v>
      </c>
      <c r="N71" s="60">
        <f t="shared" si="0"/>
        <v>45600</v>
      </c>
      <c r="O71" s="60">
        <f t="shared" si="0"/>
        <v>57000</v>
      </c>
    </row>
    <row r="72" spans="2:15" x14ac:dyDescent="0.25">
      <c r="D72" s="24"/>
      <c r="E72" t="s">
        <v>121</v>
      </c>
      <c r="K72" s="60">
        <f t="shared" si="0"/>
        <v>360000</v>
      </c>
      <c r="L72" s="60">
        <f t="shared" si="0"/>
        <v>720000</v>
      </c>
      <c r="M72" s="60">
        <f t="shared" si="0"/>
        <v>1080000</v>
      </c>
      <c r="N72" s="60">
        <f t="shared" si="0"/>
        <v>1440000</v>
      </c>
      <c r="O72" s="60">
        <f t="shared" si="0"/>
        <v>1800000</v>
      </c>
    </row>
    <row r="73" spans="2:15" ht="15.75" thickBot="1" x14ac:dyDescent="0.3">
      <c r="D73" s="24" t="s">
        <v>106</v>
      </c>
      <c r="K73" s="61">
        <f t="shared" si="0"/>
        <v>1000000</v>
      </c>
      <c r="L73" s="61">
        <f t="shared" si="0"/>
        <v>2000000</v>
      </c>
      <c r="M73" s="61">
        <f t="shared" si="0"/>
        <v>3000000</v>
      </c>
      <c r="N73" s="61">
        <f t="shared" si="0"/>
        <v>4000000</v>
      </c>
      <c r="O73" s="61">
        <f t="shared" si="0"/>
        <v>5000000</v>
      </c>
    </row>
    <row r="74" spans="2:15" ht="16.5" thickTop="1" thickBot="1" x14ac:dyDescent="0.3">
      <c r="K74" s="58">
        <f>SUM(K67:K73)</f>
        <v>2104800</v>
      </c>
      <c r="L74" s="58">
        <f>SUM(L67:L73)</f>
        <v>4209600</v>
      </c>
      <c r="M74" s="58">
        <f>SUM(M67:M73)</f>
        <v>6314400</v>
      </c>
      <c r="N74" s="58">
        <f>SUM(N67:N73)</f>
        <v>8589200</v>
      </c>
      <c r="O74" s="58">
        <f>SUM(O67:O73)</f>
        <v>10864000</v>
      </c>
    </row>
    <row r="75" spans="2:15" ht="15.75" thickTop="1" x14ac:dyDescent="0.25">
      <c r="K75" s="59"/>
      <c r="L75" s="59"/>
      <c r="M75" s="59"/>
      <c r="N75" s="59"/>
      <c r="O75" s="59"/>
    </row>
    <row r="76" spans="2:15" x14ac:dyDescent="0.25">
      <c r="B76" s="24"/>
      <c r="C76" s="24" t="s">
        <v>125</v>
      </c>
    </row>
    <row r="77" spans="2:15" x14ac:dyDescent="0.25">
      <c r="D77" s="24" t="s">
        <v>108</v>
      </c>
      <c r="K77" s="60">
        <f>J76+K53</f>
        <v>10000000</v>
      </c>
      <c r="L77" s="60">
        <f>K77+L53</f>
        <v>10000000</v>
      </c>
      <c r="M77" s="60">
        <f>L77+M53</f>
        <v>10000000</v>
      </c>
      <c r="N77" s="60">
        <f>M77+N53</f>
        <v>10850000</v>
      </c>
      <c r="O77" s="60">
        <f>N77+O53</f>
        <v>10850000</v>
      </c>
    </row>
    <row r="78" spans="2:15" ht="14.25" customHeight="1" thickBot="1" x14ac:dyDescent="0.3">
      <c r="D78" s="24" t="s">
        <v>126</v>
      </c>
      <c r="K78" s="63">
        <f>-K74</f>
        <v>-2104800</v>
      </c>
      <c r="L78" s="63">
        <f>-L74</f>
        <v>-4209600</v>
      </c>
      <c r="M78" s="63">
        <f>-M74</f>
        <v>-6314400</v>
      </c>
      <c r="N78" s="63">
        <f>-N74</f>
        <v>-8589200</v>
      </c>
      <c r="O78" s="63">
        <f>-O74</f>
        <v>-10864000</v>
      </c>
    </row>
    <row r="79" spans="2:15" ht="18.75" customHeight="1" thickTop="1" thickBot="1" x14ac:dyDescent="0.3">
      <c r="D79" s="24" t="s">
        <v>124</v>
      </c>
      <c r="K79" s="58">
        <f>K77+K78</f>
        <v>7895200</v>
      </c>
      <c r="L79" s="58">
        <f>L77+L78</f>
        <v>5790400</v>
      </c>
      <c r="M79" s="58">
        <f>M77+M78</f>
        <v>3685600</v>
      </c>
      <c r="N79" s="58">
        <f>N77+N78</f>
        <v>2260800</v>
      </c>
      <c r="O79" s="58">
        <f>O77+O78</f>
        <v>-14000</v>
      </c>
    </row>
    <row r="80" spans="2:15" ht="15.75" thickTop="1" x14ac:dyDescent="0.25"/>
    <row r="81" spans="2:15" s="1" customFormat="1" x14ac:dyDescent="0.25">
      <c r="B81" s="34" t="s">
        <v>137</v>
      </c>
      <c r="C81" s="33"/>
    </row>
    <row r="83" spans="2:15" x14ac:dyDescent="0.25">
      <c r="C83" s="24" t="s">
        <v>129</v>
      </c>
      <c r="K83" s="60">
        <f>K53</f>
        <v>10000000</v>
      </c>
    </row>
    <row r="84" spans="2:15" x14ac:dyDescent="0.25">
      <c r="C84" s="24" t="s">
        <v>131</v>
      </c>
      <c r="K84" s="6"/>
    </row>
    <row r="85" spans="2:15" x14ac:dyDescent="0.25">
      <c r="D85" t="s">
        <v>132</v>
      </c>
      <c r="F85" s="59"/>
      <c r="K85" s="36">
        <f>'Input Data'!L115</f>
        <v>2025000</v>
      </c>
    </row>
    <row r="86" spans="2:15" x14ac:dyDescent="0.25">
      <c r="C86" s="24"/>
      <c r="D86" t="s">
        <v>71</v>
      </c>
      <c r="F86" s="64">
        <v>12</v>
      </c>
      <c r="K86" s="60">
        <f>K17/F86</f>
        <v>1411200</v>
      </c>
    </row>
    <row r="87" spans="2:15" ht="15.75" thickBot="1" x14ac:dyDescent="0.3">
      <c r="D87" t="s">
        <v>133</v>
      </c>
      <c r="F87" s="64">
        <v>3</v>
      </c>
      <c r="K87" s="107">
        <f>K41/F87</f>
        <v>4101493.3333333335</v>
      </c>
    </row>
    <row r="88" spans="2:15" ht="15.75" thickBot="1" x14ac:dyDescent="0.3">
      <c r="K88" s="106">
        <f>SUM(K83:K87)</f>
        <v>17537693.333333332</v>
      </c>
    </row>
    <row r="89" spans="2:15" ht="15.75" thickTop="1" x14ac:dyDescent="0.25"/>
    <row r="90" spans="2:15" x14ac:dyDescent="0.25">
      <c r="D90" t="s">
        <v>134</v>
      </c>
      <c r="K90" s="60">
        <f>K88*'Input Data'!L118</f>
        <v>17537693.333333332</v>
      </c>
    </row>
    <row r="91" spans="2:15" ht="15.75" thickBot="1" x14ac:dyDescent="0.3">
      <c r="D91" t="s">
        <v>135</v>
      </c>
      <c r="K91" s="42">
        <f>K88-K90</f>
        <v>0</v>
      </c>
    </row>
    <row r="92" spans="2:15" ht="16.5" thickTop="1" thickBot="1" x14ac:dyDescent="0.3">
      <c r="D92" t="s">
        <v>138</v>
      </c>
      <c r="K92" s="58">
        <f>SUM(K90:K91)</f>
        <v>17537693.333333332</v>
      </c>
    </row>
    <row r="93" spans="2:15" ht="15.75" thickTop="1" x14ac:dyDescent="0.25"/>
    <row r="94" spans="2:15" s="1" customFormat="1" x14ac:dyDescent="0.25">
      <c r="B94" s="34" t="s">
        <v>139</v>
      </c>
      <c r="C94" s="33"/>
    </row>
    <row r="95" spans="2:15" x14ac:dyDescent="0.25">
      <c r="D95" t="s">
        <v>140</v>
      </c>
      <c r="K95" s="60">
        <f>K19/'Input Data'!L7</f>
        <v>235200</v>
      </c>
      <c r="L95" s="60">
        <f>L19/'Input Data'!M7</f>
        <v>269209.92</v>
      </c>
      <c r="M95" s="60">
        <f>M19/'Input Data'!N7</f>
        <v>306899.30880000006</v>
      </c>
      <c r="N95" s="60">
        <f>N19/'Input Data'!O7</f>
        <v>349865.21203200007</v>
      </c>
      <c r="O95" s="60">
        <f>O19/'Input Data'!P7</f>
        <v>398846.34171648003</v>
      </c>
    </row>
    <row r="97" spans="2:15" s="1" customFormat="1" x14ac:dyDescent="0.25">
      <c r="B97" s="34" t="s">
        <v>147</v>
      </c>
      <c r="C97" s="33"/>
    </row>
    <row r="99" spans="2:15" x14ac:dyDescent="0.25">
      <c r="D99" t="s">
        <v>15</v>
      </c>
      <c r="K99" s="70">
        <f>'Income Statement'!I18</f>
        <v>25104320</v>
      </c>
      <c r="L99" s="70">
        <f>'Income Statement'!J18</f>
        <v>28736362.752000004</v>
      </c>
      <c r="M99" s="70">
        <f>'Income Statement'!K18</f>
        <v>34977725.537280008</v>
      </c>
      <c r="N99" s="70">
        <f>'Income Statement'!L18</f>
        <v>41922879.112499222</v>
      </c>
      <c r="O99" s="70">
        <f>'Income Statement'!M18</f>
        <v>50034154.188249111</v>
      </c>
    </row>
    <row r="100" spans="2:15" x14ac:dyDescent="0.25">
      <c r="D100" t="s">
        <v>146</v>
      </c>
      <c r="K100" s="36">
        <f>IF(K99&gt;0,K99*'Input Data'!$G$123)</f>
        <v>6276080</v>
      </c>
      <c r="L100" s="36">
        <f>IF(L99&gt;0,L99*'Input Data'!$G$123)</f>
        <v>7184090.688000001</v>
      </c>
      <c r="M100" s="36">
        <f>IF(M99&gt;0,M99*'Input Data'!$G$123)</f>
        <v>8744431.384320002</v>
      </c>
      <c r="N100" s="36">
        <f>IF(N99&gt;0,N99*'Input Data'!$G$123)</f>
        <v>10480719.778124806</v>
      </c>
      <c r="O100" s="36">
        <f>IF(O99&gt;0,O99*'Input Data'!$G$123)</f>
        <v>12508538.547062278</v>
      </c>
    </row>
    <row r="102" spans="2:15" s="1" customFormat="1" x14ac:dyDescent="0.25">
      <c r="B102" s="34" t="s">
        <v>200</v>
      </c>
      <c r="C102" s="33"/>
    </row>
    <row r="104" spans="2:15" x14ac:dyDescent="0.25">
      <c r="G104" t="s">
        <v>199</v>
      </c>
      <c r="K104" s="32">
        <f>((K107/K112)*K106)+((K110/K112)*K109*(1-K113))</f>
        <v>0.18755897924278608</v>
      </c>
      <c r="L104" t="s">
        <v>205</v>
      </c>
    </row>
    <row r="106" spans="2:15" x14ac:dyDescent="0.25">
      <c r="G106" t="s">
        <v>148</v>
      </c>
      <c r="K106" s="86">
        <f>I117</f>
        <v>0.18755897924278608</v>
      </c>
      <c r="L106" s="6"/>
    </row>
    <row r="107" spans="2:15" x14ac:dyDescent="0.25">
      <c r="G107" t="s">
        <v>201</v>
      </c>
      <c r="K107" s="60">
        <f>K90</f>
        <v>17537693.333333332</v>
      </c>
      <c r="L107" s="38">
        <f>K107/K112</f>
        <v>1</v>
      </c>
    </row>
    <row r="108" spans="2:15" x14ac:dyDescent="0.25">
      <c r="K108" s="6"/>
      <c r="L108" s="6"/>
    </row>
    <row r="109" spans="2:15" x14ac:dyDescent="0.25">
      <c r="G109" t="s">
        <v>202</v>
      </c>
      <c r="K109" s="6"/>
      <c r="L109" s="6"/>
    </row>
    <row r="110" spans="2:15" x14ac:dyDescent="0.25">
      <c r="G110" t="s">
        <v>203</v>
      </c>
      <c r="K110" s="60">
        <f>K91</f>
        <v>0</v>
      </c>
      <c r="L110" s="38">
        <f>K110/K112</f>
        <v>0</v>
      </c>
    </row>
    <row r="111" spans="2:15" x14ac:dyDescent="0.25">
      <c r="K111" s="6"/>
      <c r="L111" s="6"/>
    </row>
    <row r="112" spans="2:15" x14ac:dyDescent="0.25">
      <c r="G112" t="s">
        <v>204</v>
      </c>
      <c r="K112" s="60">
        <f>K107+K110</f>
        <v>17537693.333333332</v>
      </c>
      <c r="L112" s="38">
        <f>K112/K112</f>
        <v>1</v>
      </c>
    </row>
    <row r="113" spans="2:15" x14ac:dyDescent="0.25">
      <c r="G113" t="s">
        <v>62</v>
      </c>
      <c r="K113" s="38">
        <v>0</v>
      </c>
      <c r="L113" s="6"/>
    </row>
    <row r="116" spans="2:15" s="1" customFormat="1" x14ac:dyDescent="0.25">
      <c r="B116" s="34" t="s">
        <v>148</v>
      </c>
      <c r="C116" s="33"/>
    </row>
    <row r="117" spans="2:15" x14ac:dyDescent="0.25">
      <c r="G117" t="s">
        <v>206</v>
      </c>
      <c r="I117" s="98">
        <f>J119+(J121*(J123-J119))</f>
        <v>0.18755897924278608</v>
      </c>
      <c r="J117" s="99"/>
      <c r="K117" s="99" t="s">
        <v>207</v>
      </c>
      <c r="L117" s="99"/>
      <c r="M117" s="99"/>
      <c r="N117" s="99"/>
      <c r="O117" s="100"/>
    </row>
    <row r="118" spans="2:15" x14ac:dyDescent="0.25">
      <c r="I118" s="101"/>
      <c r="J118" s="99"/>
      <c r="K118" s="99" t="s">
        <v>208</v>
      </c>
      <c r="L118" s="99"/>
      <c r="M118" s="99" t="s">
        <v>209</v>
      </c>
      <c r="N118" s="99"/>
      <c r="O118" s="100"/>
    </row>
    <row r="119" spans="2:15" x14ac:dyDescent="0.25">
      <c r="I119" s="101" t="s">
        <v>210</v>
      </c>
      <c r="J119" s="102">
        <v>0.19463</v>
      </c>
      <c r="K119" s="99"/>
      <c r="L119" s="103" t="s">
        <v>211</v>
      </c>
      <c r="M119" s="99"/>
      <c r="N119" s="99"/>
      <c r="O119" s="100"/>
    </row>
    <row r="120" spans="2:15" x14ac:dyDescent="0.25">
      <c r="I120" s="101"/>
      <c r="J120" s="99"/>
      <c r="K120" s="99"/>
      <c r="L120" s="99"/>
      <c r="M120" s="99"/>
      <c r="N120" s="99"/>
      <c r="O120" s="100"/>
    </row>
    <row r="121" spans="2:15" x14ac:dyDescent="0.25">
      <c r="I121" s="101" t="s">
        <v>212</v>
      </c>
      <c r="J121" s="104">
        <f>K121*(1+60%)</f>
        <v>1.5680000000000001</v>
      </c>
      <c r="K121" s="99">
        <v>0.98</v>
      </c>
      <c r="L121" s="99"/>
      <c r="M121" s="99"/>
      <c r="N121" s="99"/>
      <c r="O121" s="100"/>
    </row>
    <row r="122" spans="2:15" x14ac:dyDescent="0.25">
      <c r="I122" s="101"/>
      <c r="J122" s="99"/>
      <c r="K122" s="99"/>
      <c r="L122" s="99"/>
      <c r="M122" s="99"/>
      <c r="N122" s="99"/>
      <c r="O122" s="100"/>
    </row>
    <row r="123" spans="2:15" x14ac:dyDescent="0.25">
      <c r="I123" s="101" t="s">
        <v>213</v>
      </c>
      <c r="J123" s="102">
        <f>_xlfn.RRI(L124-L125,M125,M124)</f>
        <v>0.1901204204354503</v>
      </c>
      <c r="K123" s="99"/>
      <c r="L123" s="99" t="s">
        <v>214</v>
      </c>
      <c r="M123" s="99"/>
      <c r="N123" s="99"/>
      <c r="O123" s="100"/>
    </row>
    <row r="124" spans="2:15" x14ac:dyDescent="0.25">
      <c r="I124" s="101"/>
      <c r="J124" s="99"/>
      <c r="K124" s="99"/>
      <c r="L124" s="99">
        <v>2024</v>
      </c>
      <c r="M124" s="99">
        <v>105593.28</v>
      </c>
      <c r="N124" s="99"/>
      <c r="O124" s="100"/>
    </row>
    <row r="125" spans="2:15" x14ac:dyDescent="0.25">
      <c r="I125" s="101"/>
      <c r="J125" s="99"/>
      <c r="K125" s="99"/>
      <c r="L125" s="99">
        <v>1984</v>
      </c>
      <c r="M125" s="99">
        <v>100</v>
      </c>
      <c r="N125" s="99"/>
      <c r="O125" s="100"/>
    </row>
  </sheetData>
  <hyperlinks>
    <hyperlink ref="L119" r:id="rId1" display="https://tradingeconomics.com/nigeria/government-bond-yield"/>
  </hyperlinks>
  <pageMargins left="0.7" right="0.7" top="0.75" bottom="0.75" header="0.3" footer="0.3"/>
  <pageSetup orientation="portrait" r:id="rId2"/>
  <drawing r:id="rId3"/>
  <legacyDrawing r:id="rId4"/>
  <mc:AlternateContent xmlns:mc="http://schemas.openxmlformats.org/markup-compatibility/2006">
    <mc:Choice Requires="x14">
      <controls>
        <mc:AlternateContent xmlns:mc="http://schemas.openxmlformats.org/markup-compatibility/2006">
          <mc:Choice Requires="x14">
            <control shapeId="3073" r:id="rId5" name="Drop Down 1">
              <controlPr defaultSize="0" autoLine="0" autoPict="0">
                <anchor moveWithCells="1">
                  <from>
                    <xdr:col>1</xdr:col>
                    <xdr:colOff>523875</xdr:colOff>
                    <xdr:row>0</xdr:row>
                    <xdr:rowOff>47625</xdr:rowOff>
                  </from>
                  <to>
                    <xdr:col>3</xdr:col>
                    <xdr:colOff>0</xdr:colOff>
                    <xdr:row>1</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8" tint="-0.249977111117893"/>
  </sheetPr>
  <dimension ref="A1:M68"/>
  <sheetViews>
    <sheetView showGridLines="0" workbookViewId="0">
      <pane ySplit="3" topLeftCell="A19" activePane="bottomLeft" state="frozen"/>
      <selection pane="bottomLeft" activeCell="M1" sqref="M1"/>
    </sheetView>
  </sheetViews>
  <sheetFormatPr defaultRowHeight="15" x14ac:dyDescent="0.25"/>
  <cols>
    <col min="9" max="13" width="14.28515625" bestFit="1" customWidth="1"/>
  </cols>
  <sheetData>
    <row r="1" spans="1:13" x14ac:dyDescent="0.25">
      <c r="A1" t="s">
        <v>0</v>
      </c>
      <c r="B1" s="21" t="s">
        <v>41</v>
      </c>
      <c r="H1" s="21" t="s">
        <v>3</v>
      </c>
      <c r="L1" s="22" t="s">
        <v>42</v>
      </c>
      <c r="M1" s="119" t="s">
        <v>266</v>
      </c>
    </row>
    <row r="2" spans="1:13" ht="21" x14ac:dyDescent="0.35">
      <c r="D2" s="18" t="s">
        <v>141</v>
      </c>
      <c r="E2" s="18"/>
      <c r="F2" s="18"/>
      <c r="G2" s="18"/>
      <c r="H2" s="18"/>
      <c r="I2" s="18"/>
      <c r="J2" s="18"/>
      <c r="K2" s="18"/>
      <c r="L2" s="18"/>
      <c r="M2" s="18"/>
    </row>
    <row r="3" spans="1:13" ht="15.75" thickBot="1" x14ac:dyDescent="0.3">
      <c r="H3" s="66">
        <v>2024</v>
      </c>
      <c r="I3" s="69">
        <f>H3+1</f>
        <v>2025</v>
      </c>
      <c r="J3" s="69">
        <f>I3+1</f>
        <v>2026</v>
      </c>
      <c r="K3" s="69">
        <f>J3+1</f>
        <v>2027</v>
      </c>
      <c r="L3" s="69">
        <f>K3+1</f>
        <v>2028</v>
      </c>
      <c r="M3" s="69">
        <f>L3+1</f>
        <v>2029</v>
      </c>
    </row>
    <row r="4" spans="1:13" ht="15.75" thickTop="1" x14ac:dyDescent="0.25">
      <c r="A4" s="24"/>
      <c r="B4" s="24" t="s">
        <v>10</v>
      </c>
      <c r="H4" s="67"/>
      <c r="I4" s="36">
        <f>Workings!K8</f>
        <v>56448000</v>
      </c>
      <c r="J4" s="36">
        <f>Workings!L8</f>
        <v>64610380.799999997</v>
      </c>
      <c r="K4" s="36">
        <f>Workings!M8</f>
        <v>73655834.112000018</v>
      </c>
      <c r="L4" s="36">
        <f>Workings!N8</f>
        <v>83967650.887680024</v>
      </c>
      <c r="M4" s="36">
        <f>Workings!O8</f>
        <v>95723122.011955231</v>
      </c>
    </row>
    <row r="5" spans="1:13" x14ac:dyDescent="0.25">
      <c r="A5" s="24"/>
      <c r="B5" s="24"/>
      <c r="H5" s="67"/>
      <c r="I5" s="36"/>
      <c r="J5" s="36"/>
      <c r="K5" s="36"/>
      <c r="L5" s="36"/>
      <c r="M5" s="36"/>
    </row>
    <row r="6" spans="1:13" x14ac:dyDescent="0.25">
      <c r="A6" s="24"/>
      <c r="B6" s="24" t="s">
        <v>71</v>
      </c>
      <c r="H6" s="67"/>
      <c r="I6" s="70">
        <f>-Workings!K17</f>
        <v>-16934400</v>
      </c>
      <c r="J6" s="70">
        <f>-Workings!L17</f>
        <v>-19383114.239999998</v>
      </c>
      <c r="K6" s="70">
        <f>-Workings!M17</f>
        <v>-22096750.233600002</v>
      </c>
      <c r="L6" s="70">
        <f>-Workings!N17</f>
        <v>-25190295.266304005</v>
      </c>
      <c r="M6" s="70">
        <f>-Workings!O17</f>
        <v>-28716936.603586566</v>
      </c>
    </row>
    <row r="7" spans="1:13" ht="15.75" thickBot="1" x14ac:dyDescent="0.3">
      <c r="A7" s="24"/>
      <c r="B7" s="24"/>
      <c r="H7" s="67"/>
      <c r="I7" s="67"/>
      <c r="J7" s="67"/>
      <c r="K7" s="67"/>
      <c r="L7" s="67"/>
      <c r="M7" s="67"/>
    </row>
    <row r="8" spans="1:13" ht="16.5" thickTop="1" thickBot="1" x14ac:dyDescent="0.3">
      <c r="A8" s="24"/>
      <c r="B8" s="24" t="s">
        <v>11</v>
      </c>
      <c r="H8" s="67"/>
      <c r="I8" s="68">
        <f>SUM(I4:I6)</f>
        <v>39513600</v>
      </c>
      <c r="J8" s="68">
        <f>SUM(J4:J6)</f>
        <v>45227266.560000002</v>
      </c>
      <c r="K8" s="68">
        <f>SUM(K4:K6)</f>
        <v>51559083.878400013</v>
      </c>
      <c r="L8" s="68">
        <f>SUM(L4:L6)</f>
        <v>58777355.621376023</v>
      </c>
      <c r="M8" s="68">
        <f>SUM(M4:M6)</f>
        <v>67006185.408368662</v>
      </c>
    </row>
    <row r="9" spans="1:13" ht="15.75" thickTop="1" x14ac:dyDescent="0.25">
      <c r="H9" s="67"/>
      <c r="I9" s="67"/>
      <c r="J9" s="67"/>
      <c r="K9" s="67"/>
      <c r="L9" s="67"/>
      <c r="M9" s="67"/>
    </row>
    <row r="10" spans="1:13" x14ac:dyDescent="0.25">
      <c r="B10" s="24" t="s">
        <v>133</v>
      </c>
      <c r="H10" s="67"/>
      <c r="I10" s="70">
        <f>-Workings!K41</f>
        <v>-12304480</v>
      </c>
      <c r="J10" s="70">
        <f>-Workings!L41</f>
        <v>-14386103.808</v>
      </c>
      <c r="K10" s="70">
        <f>-Workings!M41</f>
        <v>-14476558.341120001</v>
      </c>
      <c r="L10" s="70">
        <f>-Workings!N41</f>
        <v>-14579676.508876801</v>
      </c>
      <c r="M10" s="70">
        <f>-Workings!O41</f>
        <v>-14697231.220119553</v>
      </c>
    </row>
    <row r="11" spans="1:13" ht="15.75" thickBot="1" x14ac:dyDescent="0.3">
      <c r="B11" s="24"/>
      <c r="H11" s="67"/>
      <c r="I11" s="75"/>
      <c r="J11" s="75"/>
      <c r="K11" s="75"/>
      <c r="L11" s="75"/>
      <c r="M11" s="75"/>
    </row>
    <row r="12" spans="1:13" ht="16.5" thickTop="1" thickBot="1" x14ac:dyDescent="0.3">
      <c r="B12" s="24" t="s">
        <v>142</v>
      </c>
      <c r="H12" s="67"/>
      <c r="I12" s="68">
        <f>I8+I10</f>
        <v>27209120</v>
      </c>
      <c r="J12" s="68">
        <f>J8+J10</f>
        <v>30841162.752000004</v>
      </c>
      <c r="K12" s="68">
        <f>K8+K10</f>
        <v>37082525.537280008</v>
      </c>
      <c r="L12" s="68">
        <f>L8+L10</f>
        <v>44197679.112499222</v>
      </c>
      <c r="M12" s="68">
        <f>M8+M10</f>
        <v>52308954.188249111</v>
      </c>
    </row>
    <row r="13" spans="1:13" ht="15.75" thickTop="1" x14ac:dyDescent="0.25">
      <c r="B13" s="24"/>
      <c r="H13" s="67"/>
      <c r="I13" s="74"/>
      <c r="J13" s="74"/>
      <c r="K13" s="74"/>
      <c r="L13" s="74"/>
      <c r="M13" s="74"/>
    </row>
    <row r="14" spans="1:13" x14ac:dyDescent="0.25">
      <c r="B14" s="24" t="s">
        <v>143</v>
      </c>
      <c r="H14" s="67"/>
      <c r="I14" s="70">
        <f>-Workings!K63</f>
        <v>-2104800</v>
      </c>
      <c r="J14" s="70">
        <f>-Workings!L63</f>
        <v>-2104800</v>
      </c>
      <c r="K14" s="70">
        <f>-Workings!M63</f>
        <v>-2104800</v>
      </c>
      <c r="L14" s="70">
        <f>-Workings!N63</f>
        <v>-2274800</v>
      </c>
      <c r="M14" s="70">
        <f>-Workings!O63</f>
        <v>-2274800</v>
      </c>
    </row>
    <row r="15" spans="1:13" ht="15.75" thickBot="1" x14ac:dyDescent="0.3">
      <c r="H15" s="67"/>
      <c r="I15" s="67"/>
      <c r="J15" s="67"/>
      <c r="K15" s="67"/>
      <c r="L15" s="67"/>
      <c r="M15" s="67"/>
    </row>
    <row r="16" spans="1:13" ht="15.75" thickTop="1" x14ac:dyDescent="0.25">
      <c r="B16" s="24" t="s">
        <v>144</v>
      </c>
      <c r="H16" s="67"/>
      <c r="I16" s="73">
        <f>I12+I14</f>
        <v>25104320</v>
      </c>
      <c r="J16" s="73">
        <f>J12+J14</f>
        <v>28736362.752000004</v>
      </c>
      <c r="K16" s="73">
        <f>K12+K14</f>
        <v>34977725.537280008</v>
      </c>
      <c r="L16" s="73">
        <f>L12+L14</f>
        <v>41922879.112499222</v>
      </c>
      <c r="M16" s="73">
        <f>M12+M14</f>
        <v>50034154.188249111</v>
      </c>
    </row>
    <row r="17" spans="2:13" ht="15.75" thickBot="1" x14ac:dyDescent="0.3">
      <c r="H17" s="67"/>
      <c r="I17" s="67"/>
      <c r="J17" s="67"/>
      <c r="K17" s="67"/>
      <c r="L17" s="67"/>
      <c r="M17" s="67"/>
    </row>
    <row r="18" spans="2:13" ht="16.5" thickTop="1" thickBot="1" x14ac:dyDescent="0.3">
      <c r="B18" s="24" t="s">
        <v>145</v>
      </c>
      <c r="H18" s="67"/>
      <c r="I18" s="68">
        <f>I16</f>
        <v>25104320</v>
      </c>
      <c r="J18" s="68">
        <f>J16</f>
        <v>28736362.752000004</v>
      </c>
      <c r="K18" s="68">
        <f>K16</f>
        <v>34977725.537280008</v>
      </c>
      <c r="L18" s="68">
        <f>L16</f>
        <v>41922879.112499222</v>
      </c>
      <c r="M18" s="68">
        <f>M16</f>
        <v>50034154.188249111</v>
      </c>
    </row>
    <row r="19" spans="2:13" ht="15.75" thickTop="1" x14ac:dyDescent="0.25">
      <c r="H19" s="67"/>
      <c r="I19" s="67"/>
      <c r="J19" s="67"/>
      <c r="K19" s="67"/>
      <c r="L19" s="67"/>
      <c r="M19" s="67"/>
    </row>
    <row r="20" spans="2:13" x14ac:dyDescent="0.25">
      <c r="B20" s="24" t="s">
        <v>146</v>
      </c>
      <c r="H20" s="67"/>
      <c r="I20" s="70">
        <f>-Workings!K100</f>
        <v>-6276080</v>
      </c>
      <c r="J20" s="70">
        <f>-Workings!L100</f>
        <v>-7184090.688000001</v>
      </c>
      <c r="K20" s="70">
        <f>-Workings!M100</f>
        <v>-8744431.384320002</v>
      </c>
      <c r="L20" s="70">
        <f>-Workings!N100</f>
        <v>-10480719.778124806</v>
      </c>
      <c r="M20" s="70">
        <f>-Workings!O100</f>
        <v>-12508538.547062278</v>
      </c>
    </row>
    <row r="21" spans="2:13" x14ac:dyDescent="0.25">
      <c r="H21" s="67"/>
      <c r="I21" s="77"/>
      <c r="J21" s="77"/>
      <c r="K21" s="77"/>
      <c r="L21" s="77"/>
      <c r="M21" s="77"/>
    </row>
    <row r="22" spans="2:13" x14ac:dyDescent="0.25">
      <c r="B22" s="24" t="s">
        <v>150</v>
      </c>
      <c r="H22" s="67"/>
      <c r="I22" s="70">
        <f>I18+I20</f>
        <v>18828240</v>
      </c>
      <c r="J22" s="70">
        <f>J18+J20</f>
        <v>21552272.064000003</v>
      </c>
      <c r="K22" s="70">
        <f>K18+K20</f>
        <v>26233294.152960006</v>
      </c>
      <c r="L22" s="70">
        <f>L18+L20</f>
        <v>31442159.334374417</v>
      </c>
      <c r="M22" s="70">
        <f>M18+M20</f>
        <v>37525615.641186833</v>
      </c>
    </row>
    <row r="23" spans="2:13" x14ac:dyDescent="0.25">
      <c r="H23" s="67"/>
      <c r="I23" s="67"/>
      <c r="J23" s="67"/>
      <c r="K23" s="67"/>
      <c r="L23" s="67"/>
      <c r="M23" s="67"/>
    </row>
    <row r="24" spans="2:13" x14ac:dyDescent="0.25">
      <c r="B24" s="24" t="s">
        <v>151</v>
      </c>
      <c r="H24" s="67"/>
      <c r="I24" s="76">
        <f>H24+I22</f>
        <v>18828240</v>
      </c>
      <c r="J24" s="76">
        <f>I24+J22</f>
        <v>40380512.064000003</v>
      </c>
      <c r="K24" s="76">
        <f>J24+K22</f>
        <v>66613806.216960013</v>
      </c>
      <c r="L24" s="76">
        <f>K24+L22</f>
        <v>98055965.551334426</v>
      </c>
      <c r="M24" s="76">
        <f>L24+M22</f>
        <v>135581581.19252127</v>
      </c>
    </row>
    <row r="25" spans="2:13" x14ac:dyDescent="0.25">
      <c r="H25" s="67"/>
      <c r="I25" s="67"/>
      <c r="J25" s="67"/>
      <c r="K25" s="67"/>
      <c r="L25" s="67"/>
      <c r="M25" s="67"/>
    </row>
    <row r="26" spans="2:13" x14ac:dyDescent="0.25">
      <c r="H26" s="67"/>
      <c r="I26" s="67"/>
      <c r="J26" s="67"/>
      <c r="K26" s="67"/>
      <c r="L26" s="67"/>
      <c r="M26" s="67"/>
    </row>
    <row r="27" spans="2:13" x14ac:dyDescent="0.25">
      <c r="H27" s="67"/>
      <c r="I27" s="67"/>
      <c r="J27" s="67"/>
      <c r="K27" s="67"/>
      <c r="L27" s="67"/>
      <c r="M27" s="67"/>
    </row>
    <row r="28" spans="2:13" x14ac:dyDescent="0.25">
      <c r="H28" s="67"/>
      <c r="I28" s="67"/>
      <c r="J28" s="67"/>
      <c r="K28" s="67"/>
      <c r="L28" s="67"/>
      <c r="M28" s="67"/>
    </row>
    <row r="29" spans="2:13" x14ac:dyDescent="0.25">
      <c r="H29" s="67"/>
      <c r="I29" s="67"/>
      <c r="J29" s="67"/>
      <c r="K29" s="67"/>
      <c r="L29" s="67"/>
      <c r="M29" s="67"/>
    </row>
    <row r="30" spans="2:13" x14ac:dyDescent="0.25">
      <c r="H30" s="67"/>
      <c r="I30" s="67"/>
      <c r="J30" s="67"/>
      <c r="K30" s="67"/>
      <c r="L30" s="67"/>
      <c r="M30" s="67"/>
    </row>
    <row r="31" spans="2:13" x14ac:dyDescent="0.25">
      <c r="H31" s="67"/>
      <c r="I31" s="67"/>
      <c r="J31" s="67"/>
      <c r="K31" s="67"/>
      <c r="L31" s="67"/>
      <c r="M31" s="67"/>
    </row>
    <row r="32" spans="2:13" x14ac:dyDescent="0.25">
      <c r="H32" s="67"/>
      <c r="I32" s="67"/>
      <c r="J32" s="67"/>
      <c r="K32" s="67"/>
      <c r="L32" s="67"/>
      <c r="M32" s="67"/>
    </row>
    <row r="33" spans="8:13" x14ac:dyDescent="0.25">
      <c r="H33" s="67"/>
      <c r="I33" s="67"/>
      <c r="J33" s="67"/>
      <c r="K33" s="67"/>
      <c r="L33" s="67"/>
      <c r="M33" s="67"/>
    </row>
    <row r="34" spans="8:13" x14ac:dyDescent="0.25">
      <c r="H34" s="67"/>
      <c r="I34" s="67"/>
      <c r="J34" s="67"/>
      <c r="K34" s="67"/>
      <c r="L34" s="67"/>
      <c r="M34" s="67"/>
    </row>
    <row r="35" spans="8:13" x14ac:dyDescent="0.25">
      <c r="H35" s="67"/>
      <c r="I35" s="67"/>
      <c r="J35" s="67"/>
      <c r="K35" s="67"/>
      <c r="L35" s="67"/>
      <c r="M35" s="67"/>
    </row>
    <row r="36" spans="8:13" x14ac:dyDescent="0.25">
      <c r="H36" s="67"/>
      <c r="I36" s="67"/>
      <c r="J36" s="67"/>
      <c r="K36" s="67"/>
      <c r="L36" s="67"/>
      <c r="M36" s="67"/>
    </row>
    <row r="37" spans="8:13" x14ac:dyDescent="0.25">
      <c r="H37" s="67"/>
      <c r="I37" s="67"/>
      <c r="J37" s="67"/>
      <c r="K37" s="67"/>
      <c r="L37" s="67"/>
      <c r="M37" s="67"/>
    </row>
    <row r="38" spans="8:13" x14ac:dyDescent="0.25">
      <c r="H38" s="67"/>
      <c r="I38" s="67"/>
      <c r="J38" s="67"/>
      <c r="K38" s="67"/>
      <c r="L38" s="67"/>
      <c r="M38" s="67"/>
    </row>
    <row r="39" spans="8:13" x14ac:dyDescent="0.25">
      <c r="H39" s="67"/>
      <c r="I39" s="67"/>
      <c r="J39" s="67"/>
      <c r="K39" s="67"/>
      <c r="L39" s="67"/>
      <c r="M39" s="67"/>
    </row>
    <row r="40" spans="8:13" x14ac:dyDescent="0.25">
      <c r="H40" s="67"/>
      <c r="I40" s="67"/>
      <c r="J40" s="67"/>
      <c r="K40" s="67"/>
      <c r="L40" s="67"/>
      <c r="M40" s="67"/>
    </row>
    <row r="41" spans="8:13" x14ac:dyDescent="0.25">
      <c r="H41" s="67"/>
      <c r="I41" s="67"/>
      <c r="J41" s="67"/>
      <c r="K41" s="67"/>
      <c r="L41" s="67"/>
      <c r="M41" s="67"/>
    </row>
    <row r="42" spans="8:13" x14ac:dyDescent="0.25">
      <c r="H42" s="67"/>
      <c r="I42" s="67"/>
      <c r="J42" s="67"/>
      <c r="K42" s="67"/>
      <c r="L42" s="67"/>
      <c r="M42" s="67"/>
    </row>
    <row r="43" spans="8:13" x14ac:dyDescent="0.25">
      <c r="H43" s="67"/>
      <c r="I43" s="67"/>
      <c r="J43" s="67"/>
      <c r="K43" s="67"/>
      <c r="L43" s="67"/>
      <c r="M43" s="67"/>
    </row>
    <row r="44" spans="8:13" x14ac:dyDescent="0.25">
      <c r="H44" s="67"/>
      <c r="I44" s="67"/>
      <c r="J44" s="67"/>
      <c r="K44" s="67"/>
      <c r="L44" s="67"/>
      <c r="M44" s="67"/>
    </row>
    <row r="45" spans="8:13" x14ac:dyDescent="0.25">
      <c r="H45" s="67"/>
      <c r="I45" s="67"/>
      <c r="J45" s="67"/>
      <c r="K45" s="67"/>
      <c r="L45" s="67"/>
      <c r="M45" s="67"/>
    </row>
    <row r="46" spans="8:13" x14ac:dyDescent="0.25">
      <c r="H46" s="67"/>
      <c r="I46" s="67"/>
      <c r="J46" s="67"/>
      <c r="K46" s="67"/>
      <c r="L46" s="67"/>
      <c r="M46" s="67"/>
    </row>
    <row r="47" spans="8:13" x14ac:dyDescent="0.25">
      <c r="H47" s="67"/>
      <c r="I47" s="67"/>
      <c r="J47" s="67"/>
      <c r="K47" s="67"/>
      <c r="L47" s="67"/>
      <c r="M47" s="67"/>
    </row>
    <row r="48" spans="8:13" x14ac:dyDescent="0.25">
      <c r="H48" s="67"/>
      <c r="I48" s="67"/>
      <c r="J48" s="67"/>
      <c r="K48" s="67"/>
      <c r="L48" s="67"/>
      <c r="M48" s="67"/>
    </row>
    <row r="49" spans="8:13" x14ac:dyDescent="0.25">
      <c r="H49" s="67"/>
      <c r="I49" s="67"/>
      <c r="J49" s="67"/>
      <c r="K49" s="67"/>
      <c r="L49" s="67"/>
      <c r="M49" s="67"/>
    </row>
    <row r="50" spans="8:13" x14ac:dyDescent="0.25">
      <c r="H50" s="67"/>
      <c r="I50" s="67"/>
      <c r="J50" s="67"/>
      <c r="K50" s="67"/>
      <c r="L50" s="67"/>
      <c r="M50" s="67"/>
    </row>
    <row r="51" spans="8:13" x14ac:dyDescent="0.25">
      <c r="H51" s="67"/>
      <c r="I51" s="67"/>
      <c r="J51" s="67"/>
      <c r="K51" s="67"/>
      <c r="L51" s="67"/>
      <c r="M51" s="67"/>
    </row>
    <row r="52" spans="8:13" x14ac:dyDescent="0.25">
      <c r="H52" s="67"/>
      <c r="I52" s="67"/>
      <c r="J52" s="67"/>
      <c r="K52" s="67"/>
      <c r="L52" s="67"/>
      <c r="M52" s="67"/>
    </row>
    <row r="53" spans="8:13" x14ac:dyDescent="0.25">
      <c r="H53" s="67"/>
      <c r="I53" s="67"/>
      <c r="J53" s="67"/>
      <c r="K53" s="67"/>
      <c r="L53" s="67"/>
      <c r="M53" s="67"/>
    </row>
    <row r="54" spans="8:13" x14ac:dyDescent="0.25">
      <c r="H54" s="67"/>
      <c r="I54" s="67"/>
      <c r="J54" s="67"/>
      <c r="K54" s="67"/>
      <c r="L54" s="67"/>
      <c r="M54" s="67"/>
    </row>
    <row r="55" spans="8:13" x14ac:dyDescent="0.25">
      <c r="H55" s="67"/>
      <c r="I55" s="67"/>
      <c r="J55" s="67"/>
      <c r="K55" s="67"/>
      <c r="L55" s="67"/>
      <c r="M55" s="67"/>
    </row>
    <row r="56" spans="8:13" x14ac:dyDescent="0.25">
      <c r="H56" s="67"/>
      <c r="I56" s="67"/>
      <c r="J56" s="67"/>
      <c r="K56" s="67"/>
      <c r="L56" s="67"/>
      <c r="M56" s="67"/>
    </row>
    <row r="57" spans="8:13" x14ac:dyDescent="0.25">
      <c r="H57" s="67"/>
      <c r="I57" s="67"/>
      <c r="J57" s="67"/>
      <c r="K57" s="67"/>
      <c r="L57" s="67"/>
      <c r="M57" s="67"/>
    </row>
    <row r="58" spans="8:13" x14ac:dyDescent="0.25">
      <c r="H58" s="67"/>
      <c r="I58" s="67"/>
      <c r="J58" s="67"/>
      <c r="K58" s="67"/>
      <c r="L58" s="67"/>
      <c r="M58" s="67"/>
    </row>
    <row r="59" spans="8:13" x14ac:dyDescent="0.25">
      <c r="H59" s="67"/>
      <c r="I59" s="67"/>
      <c r="J59" s="67"/>
      <c r="K59" s="67"/>
      <c r="L59" s="67"/>
      <c r="M59" s="67"/>
    </row>
    <row r="60" spans="8:13" x14ac:dyDescent="0.25">
      <c r="H60" s="67"/>
      <c r="I60" s="67"/>
      <c r="J60" s="67"/>
      <c r="K60" s="67"/>
      <c r="L60" s="67"/>
      <c r="M60" s="67"/>
    </row>
    <row r="61" spans="8:13" x14ac:dyDescent="0.25">
      <c r="H61" s="67"/>
      <c r="I61" s="67"/>
      <c r="J61" s="67"/>
      <c r="K61" s="67"/>
      <c r="L61" s="67"/>
      <c r="M61" s="67"/>
    </row>
    <row r="62" spans="8:13" x14ac:dyDescent="0.25">
      <c r="H62" s="67"/>
      <c r="I62" s="67"/>
      <c r="J62" s="67"/>
      <c r="K62" s="67"/>
      <c r="L62" s="67"/>
      <c r="M62" s="67"/>
    </row>
    <row r="63" spans="8:13" x14ac:dyDescent="0.25">
      <c r="H63" s="67"/>
      <c r="I63" s="67"/>
      <c r="J63" s="67"/>
      <c r="K63" s="67"/>
      <c r="L63" s="67"/>
      <c r="M63" s="67"/>
    </row>
    <row r="64" spans="8:13" x14ac:dyDescent="0.25">
      <c r="H64" s="67"/>
      <c r="I64" s="67"/>
      <c r="J64" s="67"/>
      <c r="K64" s="67"/>
      <c r="L64" s="67"/>
      <c r="M64" s="67"/>
    </row>
    <row r="65" spans="8:13" x14ac:dyDescent="0.25">
      <c r="H65" s="67"/>
      <c r="I65" s="67"/>
      <c r="J65" s="67"/>
      <c r="K65" s="67"/>
      <c r="L65" s="67"/>
      <c r="M65" s="67"/>
    </row>
    <row r="66" spans="8:13" x14ac:dyDescent="0.25">
      <c r="H66" s="67"/>
      <c r="I66" s="67"/>
      <c r="J66" s="67"/>
      <c r="K66" s="67"/>
      <c r="L66" s="67"/>
      <c r="M66" s="67"/>
    </row>
    <row r="67" spans="8:13" x14ac:dyDescent="0.25">
      <c r="H67" s="67"/>
      <c r="I67" s="67"/>
      <c r="J67" s="67"/>
      <c r="K67" s="67"/>
      <c r="L67" s="67"/>
      <c r="M67" s="67"/>
    </row>
    <row r="68" spans="8:13" x14ac:dyDescent="0.25">
      <c r="H68" s="67"/>
      <c r="I68" s="67"/>
      <c r="J68" s="67"/>
      <c r="K68" s="67"/>
      <c r="L68" s="67"/>
      <c r="M68" s="67"/>
    </row>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7169" r:id="rId4" name="Drop Down 1">
              <controlPr defaultSize="0" autoLine="0" autoPict="0">
                <anchor moveWithCells="1">
                  <from>
                    <xdr:col>1</xdr:col>
                    <xdr:colOff>552450</xdr:colOff>
                    <xdr:row>0</xdr:row>
                    <xdr:rowOff>38100</xdr:rowOff>
                  </from>
                  <to>
                    <xdr:col>3</xdr:col>
                    <xdr:colOff>28575</xdr:colOff>
                    <xdr:row>1</xdr:row>
                    <xdr:rowOff>0</xdr:rowOff>
                  </to>
                </anchor>
              </controlPr>
            </control>
          </mc:Choice>
        </mc:AlternateContent>
      </controls>
    </mc:Choice>
  </mc:AlternateConten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8" tint="-0.249977111117893"/>
  </sheetPr>
  <dimension ref="B1:O129"/>
  <sheetViews>
    <sheetView showGridLines="0" workbookViewId="0">
      <pane ySplit="3" topLeftCell="A19" activePane="bottomLeft" state="frozen"/>
      <selection pane="bottomLeft" activeCell="J12" sqref="J12"/>
    </sheetView>
  </sheetViews>
  <sheetFormatPr defaultRowHeight="15" x14ac:dyDescent="0.25"/>
  <cols>
    <col min="3" max="3" width="2.85546875" customWidth="1"/>
    <col min="11" max="15" width="14.28515625" bestFit="1" customWidth="1"/>
  </cols>
  <sheetData>
    <row r="1" spans="2:15" x14ac:dyDescent="0.25">
      <c r="B1" s="21" t="s">
        <v>41</v>
      </c>
      <c r="J1" s="21" t="s">
        <v>3</v>
      </c>
      <c r="N1" s="22" t="s">
        <v>42</v>
      </c>
      <c r="O1" s="119" t="s">
        <v>266</v>
      </c>
    </row>
    <row r="2" spans="2:15" ht="21" x14ac:dyDescent="0.35">
      <c r="D2" s="78" t="s">
        <v>152</v>
      </c>
      <c r="E2" s="18"/>
      <c r="F2" s="18"/>
      <c r="G2" s="18"/>
      <c r="H2" s="18"/>
      <c r="I2" s="18"/>
      <c r="J2" s="18"/>
      <c r="K2" s="18"/>
      <c r="L2" s="18"/>
      <c r="M2" s="18"/>
      <c r="N2" s="18"/>
      <c r="O2" s="18"/>
    </row>
    <row r="3" spans="2:15" ht="15.75" thickBot="1" x14ac:dyDescent="0.3">
      <c r="J3" s="66">
        <v>2024</v>
      </c>
      <c r="K3" s="69">
        <f>J3+1</f>
        <v>2025</v>
      </c>
      <c r="L3" s="69">
        <f>K3+1</f>
        <v>2026</v>
      </c>
      <c r="M3" s="69">
        <f>L3+1</f>
        <v>2027</v>
      </c>
      <c r="N3" s="69">
        <f>M3+1</f>
        <v>2028</v>
      </c>
      <c r="O3" s="69">
        <f>N3+1</f>
        <v>2029</v>
      </c>
    </row>
    <row r="4" spans="2:15" ht="15.75" thickTop="1" x14ac:dyDescent="0.25">
      <c r="C4" s="24" t="s">
        <v>100</v>
      </c>
      <c r="J4" s="35"/>
      <c r="K4" s="35"/>
      <c r="L4" s="35"/>
      <c r="M4" s="35"/>
      <c r="N4" s="35"/>
      <c r="O4" s="35"/>
    </row>
    <row r="5" spans="2:15" x14ac:dyDescent="0.25">
      <c r="D5" s="24" t="s">
        <v>101</v>
      </c>
      <c r="J5" s="35"/>
      <c r="K5" s="35"/>
      <c r="L5" s="35"/>
      <c r="M5" s="35"/>
      <c r="N5" s="35"/>
      <c r="O5" s="35"/>
    </row>
    <row r="6" spans="2:15" x14ac:dyDescent="0.25">
      <c r="D6" t="s">
        <v>155</v>
      </c>
      <c r="J6" s="35"/>
      <c r="K6" s="35"/>
      <c r="L6" s="35"/>
      <c r="M6" s="35"/>
      <c r="N6" s="35"/>
      <c r="O6" s="35"/>
    </row>
    <row r="7" spans="2:15" x14ac:dyDescent="0.25">
      <c r="E7" t="s">
        <v>108</v>
      </c>
      <c r="J7" s="35"/>
      <c r="K7" s="36">
        <f>Workings!K77</f>
        <v>10000000</v>
      </c>
      <c r="L7" s="36">
        <f>Workings!L77</f>
        <v>10000000</v>
      </c>
      <c r="M7" s="36">
        <f>Workings!M77</f>
        <v>10000000</v>
      </c>
      <c r="N7" s="36">
        <f>Workings!N77</f>
        <v>10850000</v>
      </c>
      <c r="O7" s="36">
        <f>Workings!O77</f>
        <v>10850000</v>
      </c>
    </row>
    <row r="8" spans="2:15" x14ac:dyDescent="0.25">
      <c r="E8" t="s">
        <v>156</v>
      </c>
      <c r="J8" s="35"/>
      <c r="K8" s="36">
        <f>Workings!K78</f>
        <v>-2104800</v>
      </c>
      <c r="L8" s="36">
        <f>Workings!L78</f>
        <v>-4209600</v>
      </c>
      <c r="M8" s="36">
        <f>Workings!M78</f>
        <v>-6314400</v>
      </c>
      <c r="N8" s="36">
        <f>Workings!N78</f>
        <v>-8589200</v>
      </c>
      <c r="O8" s="36">
        <f>Workings!O78</f>
        <v>-10864000</v>
      </c>
    </row>
    <row r="9" spans="2:15" ht="15.75" thickBot="1" x14ac:dyDescent="0.3">
      <c r="E9" t="s">
        <v>157</v>
      </c>
      <c r="J9" s="35"/>
      <c r="K9" s="62">
        <f>K7+K8</f>
        <v>7895200</v>
      </c>
      <c r="L9" s="62">
        <f>L7+L8</f>
        <v>5790400</v>
      </c>
      <c r="M9" s="62">
        <f>M7+M8</f>
        <v>3685600</v>
      </c>
      <c r="N9" s="62">
        <f>N7+N8</f>
        <v>2260800</v>
      </c>
      <c r="O9" s="62">
        <f>O7+O8</f>
        <v>-14000</v>
      </c>
    </row>
    <row r="10" spans="2:15" ht="15.75" thickTop="1" x14ac:dyDescent="0.25">
      <c r="J10" s="35"/>
      <c r="K10" s="35"/>
      <c r="L10" s="35"/>
      <c r="M10" s="35"/>
      <c r="N10" s="35"/>
      <c r="O10" s="35"/>
    </row>
    <row r="11" spans="2:15" x14ac:dyDescent="0.25">
      <c r="D11" s="24" t="s">
        <v>153</v>
      </c>
      <c r="J11" s="35"/>
      <c r="K11" s="35"/>
      <c r="L11" s="35"/>
      <c r="M11" s="35"/>
      <c r="N11" s="35"/>
      <c r="O11" s="35"/>
    </row>
    <row r="12" spans="2:15" x14ac:dyDescent="0.25">
      <c r="E12" t="s">
        <v>59</v>
      </c>
      <c r="J12" s="35"/>
      <c r="K12" s="36">
        <f>Workings!K20</f>
        <v>5927040</v>
      </c>
      <c r="L12" s="36">
        <f>Workings!L20</f>
        <v>6784089.9839999992</v>
      </c>
      <c r="M12" s="36">
        <f>Workings!M20</f>
        <v>7733862.5817600004</v>
      </c>
      <c r="N12" s="36">
        <f>Workings!N20</f>
        <v>8816603.3432064019</v>
      </c>
      <c r="O12" s="36">
        <f>Workings!O20</f>
        <v>10050927.811255297</v>
      </c>
    </row>
    <row r="13" spans="2:15" ht="15.75" thickBot="1" x14ac:dyDescent="0.3">
      <c r="E13" t="s">
        <v>158</v>
      </c>
      <c r="J13" s="35"/>
      <c r="K13" s="50">
        <f>Cashflow!J30</f>
        <v>29054973.333333332</v>
      </c>
      <c r="L13" s="50">
        <f>Cashflow!K30</f>
        <v>52797016.021333337</v>
      </c>
      <c r="M13" s="50">
        <f>Cashflow!L30</f>
        <v>81783367.66165334</v>
      </c>
      <c r="N13" s="50">
        <f>Cashflow!M30</f>
        <v>115346840.53161816</v>
      </c>
      <c r="O13" s="50">
        <f>Cashflow!N30</f>
        <v>155989731.60337806</v>
      </c>
    </row>
    <row r="14" spans="2:15" ht="16.5" thickTop="1" thickBot="1" x14ac:dyDescent="0.3">
      <c r="D14" s="24" t="s">
        <v>159</v>
      </c>
      <c r="I14" s="42"/>
      <c r="J14" s="35"/>
      <c r="K14" s="51">
        <f>SUM(K12:K13)</f>
        <v>34982013.333333328</v>
      </c>
      <c r="L14" s="51">
        <f>SUM(L12:L13)</f>
        <v>59581106.005333334</v>
      </c>
      <c r="M14" s="51">
        <f>SUM(M12:M13)</f>
        <v>89517230.243413344</v>
      </c>
      <c r="N14" s="51">
        <f>SUM(N12:N13)</f>
        <v>124163443.87482457</v>
      </c>
      <c r="O14" s="51">
        <f>SUM(O12:O13)</f>
        <v>166040659.41463336</v>
      </c>
    </row>
    <row r="15" spans="2:15" ht="16.5" thickTop="1" thickBot="1" x14ac:dyDescent="0.3">
      <c r="J15" s="35"/>
      <c r="K15" s="35"/>
      <c r="L15" s="35"/>
      <c r="M15" s="35"/>
      <c r="N15" s="35"/>
      <c r="O15" s="35"/>
    </row>
    <row r="16" spans="2:15" ht="16.5" thickTop="1" thickBot="1" x14ac:dyDescent="0.3">
      <c r="D16" s="24" t="s">
        <v>160</v>
      </c>
      <c r="J16" s="35"/>
      <c r="K16" s="79">
        <f>K9+K14</f>
        <v>42877213.333333328</v>
      </c>
      <c r="L16" s="79">
        <f>L9+L14</f>
        <v>65371506.005333334</v>
      </c>
      <c r="M16" s="79">
        <f>M9+M14</f>
        <v>93202830.243413344</v>
      </c>
      <c r="N16" s="79">
        <f>N9+N14</f>
        <v>126424243.87482457</v>
      </c>
      <c r="O16" s="79">
        <f>O9+O14</f>
        <v>166026659.41463336</v>
      </c>
    </row>
    <row r="17" spans="3:15" ht="15.75" thickTop="1" x14ac:dyDescent="0.25">
      <c r="J17" s="35"/>
      <c r="K17" s="35"/>
      <c r="L17" s="35"/>
      <c r="M17" s="35"/>
      <c r="N17" s="35"/>
      <c r="O17" s="35"/>
    </row>
    <row r="18" spans="3:15" x14ac:dyDescent="0.25">
      <c r="C18" s="24" t="s">
        <v>161</v>
      </c>
      <c r="J18" s="35"/>
      <c r="K18" s="35"/>
      <c r="L18" s="35"/>
      <c r="M18" s="35"/>
      <c r="N18" s="35"/>
      <c r="O18" s="35"/>
    </row>
    <row r="19" spans="3:15" x14ac:dyDescent="0.25">
      <c r="E19" t="s">
        <v>162</v>
      </c>
      <c r="J19" s="35"/>
      <c r="K19" s="36">
        <f>Workings!$K$90</f>
        <v>17537693.333333332</v>
      </c>
      <c r="L19" s="36">
        <f>Workings!$K$90</f>
        <v>17537693.333333332</v>
      </c>
      <c r="M19" s="36">
        <f>Workings!$K$90</f>
        <v>17537693.333333332</v>
      </c>
      <c r="N19" s="36">
        <f>Workings!$K$90</f>
        <v>17537693.333333332</v>
      </c>
      <c r="O19" s="36">
        <f>Workings!$K$90</f>
        <v>17537693.333333332</v>
      </c>
    </row>
    <row r="20" spans="3:15" x14ac:dyDescent="0.25">
      <c r="E20" t="s">
        <v>163</v>
      </c>
      <c r="J20" s="35"/>
      <c r="K20" s="36">
        <f>'Income Statement'!I24</f>
        <v>18828240</v>
      </c>
      <c r="L20" s="36">
        <f>'Income Statement'!J24</f>
        <v>40380512.064000003</v>
      </c>
      <c r="M20" s="36">
        <f>'Income Statement'!K24</f>
        <v>66613806.216960013</v>
      </c>
      <c r="N20" s="36">
        <f>'Income Statement'!L24</f>
        <v>98055965.551334426</v>
      </c>
      <c r="O20" s="36">
        <f>'Income Statement'!M24</f>
        <v>135581581.19252127</v>
      </c>
    </row>
    <row r="21" spans="3:15" ht="15.75" thickBot="1" x14ac:dyDescent="0.3">
      <c r="D21" s="24" t="s">
        <v>164</v>
      </c>
      <c r="J21" s="35"/>
      <c r="K21" s="62">
        <f>SUM(K19:K20)</f>
        <v>36365933.333333328</v>
      </c>
      <c r="L21" s="62">
        <f>SUM(L19:L20)</f>
        <v>57918205.397333339</v>
      </c>
      <c r="M21" s="62">
        <f>SUM(M19:M20)</f>
        <v>84151499.550293341</v>
      </c>
      <c r="N21" s="62">
        <f>SUM(N19:N20)</f>
        <v>115593658.88466775</v>
      </c>
      <c r="O21" s="62">
        <f>SUM(O19:O20)</f>
        <v>153119274.52585462</v>
      </c>
    </row>
    <row r="22" spans="3:15" ht="15.75" thickTop="1" x14ac:dyDescent="0.25">
      <c r="J22" s="35"/>
      <c r="K22" s="35"/>
      <c r="L22" s="35"/>
      <c r="M22" s="35"/>
      <c r="N22" s="35"/>
      <c r="O22" s="35"/>
    </row>
    <row r="23" spans="3:15" x14ac:dyDescent="0.25">
      <c r="C23" s="24" t="s">
        <v>165</v>
      </c>
      <c r="J23" s="35"/>
      <c r="K23" s="35"/>
      <c r="L23" s="35"/>
      <c r="M23" s="35"/>
      <c r="N23" s="35"/>
      <c r="O23" s="35"/>
    </row>
    <row r="24" spans="3:15" x14ac:dyDescent="0.25">
      <c r="D24" s="24" t="s">
        <v>22</v>
      </c>
      <c r="E24" s="24"/>
      <c r="F24" s="24"/>
      <c r="J24" s="35"/>
      <c r="K24" s="35"/>
      <c r="L24" s="35"/>
      <c r="M24" s="35"/>
      <c r="N24" s="35"/>
      <c r="O24" s="35"/>
    </row>
    <row r="25" spans="3:15" x14ac:dyDescent="0.25">
      <c r="D25" s="24"/>
      <c r="E25" s="24" t="s">
        <v>166</v>
      </c>
      <c r="F25" s="24"/>
      <c r="J25" s="35"/>
      <c r="K25" s="36">
        <f>Workings!K95</f>
        <v>235200</v>
      </c>
      <c r="L25" s="36">
        <f>Workings!L95</f>
        <v>269209.92</v>
      </c>
      <c r="M25" s="36">
        <f>Workings!M95</f>
        <v>306899.30880000006</v>
      </c>
      <c r="N25" s="36">
        <f>Workings!N95</f>
        <v>349865.21203200007</v>
      </c>
      <c r="O25" s="36">
        <f>Workings!O95</f>
        <v>398846.34171648003</v>
      </c>
    </row>
    <row r="26" spans="3:15" x14ac:dyDescent="0.25">
      <c r="E26" t="s">
        <v>167</v>
      </c>
      <c r="J26" s="35"/>
      <c r="K26" s="36">
        <f>Workings!K100</f>
        <v>6276080</v>
      </c>
      <c r="L26" s="36">
        <f>Workings!L100</f>
        <v>7184090.688000001</v>
      </c>
      <c r="M26" s="36">
        <f>Workings!M100</f>
        <v>8744431.384320002</v>
      </c>
      <c r="N26" s="36">
        <f>Workings!N100</f>
        <v>10480719.778124806</v>
      </c>
      <c r="O26" s="36">
        <f>Workings!O100</f>
        <v>12508538.547062278</v>
      </c>
    </row>
    <row r="27" spans="3:15" ht="15.75" thickBot="1" x14ac:dyDescent="0.3">
      <c r="J27" s="35"/>
      <c r="K27" s="35"/>
      <c r="L27" s="35"/>
      <c r="M27" s="35"/>
      <c r="N27" s="35"/>
      <c r="O27" s="35"/>
    </row>
    <row r="28" spans="3:15" ht="16.5" thickTop="1" thickBot="1" x14ac:dyDescent="0.3">
      <c r="D28" t="s">
        <v>168</v>
      </c>
      <c r="J28" s="35"/>
      <c r="K28" s="51">
        <f>SUM(K25:K27)</f>
        <v>6511280</v>
      </c>
      <c r="L28" s="51">
        <f>SUM(L25:L27)</f>
        <v>7453300.6080000009</v>
      </c>
      <c r="M28" s="51">
        <f>SUM(M25:M27)</f>
        <v>9051330.6931200027</v>
      </c>
      <c r="N28" s="51">
        <f>SUM(N25:N27)</f>
        <v>10830584.990156805</v>
      </c>
      <c r="O28" s="51">
        <f>SUM(O25:O27)</f>
        <v>12907384.888778757</v>
      </c>
    </row>
    <row r="29" spans="3:15" ht="16.5" thickTop="1" thickBot="1" x14ac:dyDescent="0.3">
      <c r="J29" s="35"/>
      <c r="K29" s="35"/>
      <c r="L29" s="35"/>
      <c r="M29" s="35"/>
      <c r="N29" s="35"/>
      <c r="O29" s="35"/>
    </row>
    <row r="30" spans="3:15" ht="16.5" thickTop="1" thickBot="1" x14ac:dyDescent="0.3">
      <c r="D30" s="24" t="s">
        <v>169</v>
      </c>
      <c r="E30" s="24"/>
      <c r="J30" s="35"/>
      <c r="K30" s="51">
        <f>K28</f>
        <v>6511280</v>
      </c>
      <c r="L30" s="51">
        <f>L28</f>
        <v>7453300.6080000009</v>
      </c>
      <c r="M30" s="51">
        <f>M28</f>
        <v>9051330.6931200027</v>
      </c>
      <c r="N30" s="51">
        <f>N28</f>
        <v>10830584.990156805</v>
      </c>
      <c r="O30" s="51">
        <f>O28</f>
        <v>12907384.888778757</v>
      </c>
    </row>
    <row r="31" spans="3:15" ht="16.5" thickTop="1" thickBot="1" x14ac:dyDescent="0.3">
      <c r="J31" s="35"/>
      <c r="K31" s="35"/>
      <c r="L31" s="35"/>
      <c r="M31" s="35"/>
      <c r="N31" s="35"/>
      <c r="O31" s="35"/>
    </row>
    <row r="32" spans="3:15" ht="16.5" thickTop="1" thickBot="1" x14ac:dyDescent="0.3">
      <c r="C32" t="s">
        <v>170</v>
      </c>
      <c r="J32" s="35"/>
      <c r="K32" s="51">
        <f>K30+K21</f>
        <v>42877213.333333328</v>
      </c>
      <c r="L32" s="51">
        <f>L30+L21</f>
        <v>65371506.005333342</v>
      </c>
      <c r="M32" s="51">
        <f>M30+M21</f>
        <v>93202830.243413344</v>
      </c>
      <c r="N32" s="51">
        <f>N30+N21</f>
        <v>126424243.87482455</v>
      </c>
      <c r="O32" s="51">
        <f>O30+O21</f>
        <v>166026659.41463336</v>
      </c>
    </row>
    <row r="33" spans="10:15" ht="15.75" thickTop="1" x14ac:dyDescent="0.25">
      <c r="J33" s="35"/>
      <c r="K33" s="35"/>
      <c r="L33" s="35"/>
      <c r="M33" s="35"/>
      <c r="N33" s="35"/>
      <c r="O33" s="35"/>
    </row>
    <row r="34" spans="10:15" x14ac:dyDescent="0.25">
      <c r="J34" s="35"/>
      <c r="K34" s="35"/>
      <c r="L34" s="35"/>
      <c r="M34" s="35"/>
      <c r="N34" s="35"/>
      <c r="O34" s="35"/>
    </row>
    <row r="35" spans="10:15" x14ac:dyDescent="0.25">
      <c r="J35" s="35"/>
      <c r="K35" s="35"/>
      <c r="L35" s="35"/>
      <c r="M35" s="35"/>
      <c r="N35" s="35"/>
      <c r="O35" s="35"/>
    </row>
    <row r="36" spans="10:15" x14ac:dyDescent="0.25">
      <c r="J36" s="35"/>
      <c r="K36" s="35"/>
      <c r="L36" s="35"/>
      <c r="M36" s="35"/>
      <c r="N36" s="35"/>
      <c r="O36" s="35"/>
    </row>
    <row r="37" spans="10:15" x14ac:dyDescent="0.25">
      <c r="J37" s="35"/>
      <c r="K37" s="35"/>
      <c r="L37" s="35"/>
      <c r="M37" s="35"/>
      <c r="N37" s="35"/>
      <c r="O37" s="35"/>
    </row>
    <row r="38" spans="10:15" x14ac:dyDescent="0.25">
      <c r="J38" s="35"/>
      <c r="K38" s="35"/>
      <c r="L38" s="35"/>
      <c r="M38" s="35"/>
      <c r="N38" s="35"/>
      <c r="O38" s="35"/>
    </row>
    <row r="39" spans="10:15" x14ac:dyDescent="0.25">
      <c r="J39" s="35"/>
      <c r="K39" s="35"/>
      <c r="L39" s="35"/>
      <c r="M39" s="35"/>
      <c r="N39" s="35"/>
      <c r="O39" s="35"/>
    </row>
    <row r="40" spans="10:15" x14ac:dyDescent="0.25">
      <c r="J40" s="35"/>
      <c r="K40" s="35"/>
      <c r="L40" s="35"/>
      <c r="M40" s="35"/>
      <c r="N40" s="35"/>
      <c r="O40" s="35"/>
    </row>
    <row r="41" spans="10:15" x14ac:dyDescent="0.25">
      <c r="J41" s="35"/>
      <c r="K41" s="35"/>
      <c r="L41" s="35"/>
      <c r="M41" s="35"/>
      <c r="N41" s="35"/>
      <c r="O41" s="35"/>
    </row>
    <row r="42" spans="10:15" x14ac:dyDescent="0.25">
      <c r="J42" s="35"/>
      <c r="K42" s="35"/>
      <c r="L42" s="35"/>
      <c r="M42" s="35"/>
      <c r="N42" s="35"/>
      <c r="O42" s="35"/>
    </row>
    <row r="43" spans="10:15" x14ac:dyDescent="0.25">
      <c r="J43" s="35"/>
      <c r="K43" s="35"/>
      <c r="L43" s="35"/>
      <c r="M43" s="35"/>
      <c r="N43" s="35"/>
      <c r="O43" s="35"/>
    </row>
    <row r="44" spans="10:15" x14ac:dyDescent="0.25">
      <c r="J44" s="35"/>
      <c r="K44" s="35"/>
      <c r="L44" s="35"/>
      <c r="M44" s="35"/>
      <c r="N44" s="35"/>
      <c r="O44" s="35"/>
    </row>
    <row r="45" spans="10:15" x14ac:dyDescent="0.25">
      <c r="J45" s="35"/>
      <c r="K45" s="35"/>
      <c r="L45" s="35"/>
      <c r="M45" s="35"/>
      <c r="N45" s="35"/>
      <c r="O45" s="35"/>
    </row>
    <row r="46" spans="10:15" x14ac:dyDescent="0.25">
      <c r="J46" s="35"/>
      <c r="K46" s="35"/>
      <c r="L46" s="35"/>
      <c r="M46" s="35"/>
      <c r="N46" s="35"/>
      <c r="O46" s="35"/>
    </row>
    <row r="47" spans="10:15" x14ac:dyDescent="0.25">
      <c r="J47" s="35"/>
      <c r="K47" s="35"/>
      <c r="L47" s="35"/>
      <c r="M47" s="35"/>
      <c r="N47" s="35"/>
      <c r="O47" s="35"/>
    </row>
    <row r="48" spans="10:15" x14ac:dyDescent="0.25">
      <c r="J48" s="35"/>
      <c r="K48" s="35"/>
      <c r="L48" s="35"/>
      <c r="M48" s="35"/>
      <c r="N48" s="35"/>
      <c r="O48" s="35"/>
    </row>
    <row r="49" spans="10:15" x14ac:dyDescent="0.25">
      <c r="J49" s="35"/>
      <c r="K49" s="35"/>
      <c r="L49" s="35"/>
      <c r="M49" s="35"/>
      <c r="N49" s="35"/>
      <c r="O49" s="35"/>
    </row>
    <row r="50" spans="10:15" x14ac:dyDescent="0.25">
      <c r="J50" s="35"/>
      <c r="K50" s="35"/>
      <c r="L50" s="35"/>
      <c r="M50" s="35"/>
      <c r="N50" s="35"/>
      <c r="O50" s="35"/>
    </row>
    <row r="51" spans="10:15" x14ac:dyDescent="0.25">
      <c r="J51" s="35"/>
      <c r="K51" s="35"/>
      <c r="L51" s="35"/>
      <c r="M51" s="35"/>
      <c r="N51" s="35"/>
      <c r="O51" s="35"/>
    </row>
    <row r="52" spans="10:15" x14ac:dyDescent="0.25">
      <c r="J52" s="35"/>
      <c r="K52" s="35"/>
      <c r="L52" s="35"/>
      <c r="M52" s="35"/>
      <c r="N52" s="35"/>
      <c r="O52" s="35"/>
    </row>
    <row r="53" spans="10:15" x14ac:dyDescent="0.25">
      <c r="J53" s="35"/>
      <c r="K53" s="35"/>
      <c r="L53" s="35"/>
      <c r="M53" s="35"/>
      <c r="N53" s="35"/>
      <c r="O53" s="35"/>
    </row>
    <row r="54" spans="10:15" x14ac:dyDescent="0.25">
      <c r="J54" s="35"/>
      <c r="K54" s="35"/>
      <c r="L54" s="35"/>
      <c r="M54" s="35"/>
      <c r="N54" s="35"/>
      <c r="O54" s="35"/>
    </row>
    <row r="55" spans="10:15" x14ac:dyDescent="0.25">
      <c r="J55" s="35"/>
      <c r="K55" s="35"/>
      <c r="L55" s="35"/>
      <c r="M55" s="35"/>
      <c r="N55" s="35"/>
      <c r="O55" s="35"/>
    </row>
    <row r="56" spans="10:15" x14ac:dyDescent="0.25">
      <c r="J56" s="35"/>
      <c r="K56" s="35"/>
      <c r="L56" s="35"/>
      <c r="M56" s="35"/>
      <c r="N56" s="35"/>
      <c r="O56" s="35"/>
    </row>
    <row r="57" spans="10:15" x14ac:dyDescent="0.25">
      <c r="J57" s="35"/>
      <c r="K57" s="35"/>
      <c r="L57" s="35"/>
      <c r="M57" s="35"/>
      <c r="N57" s="35"/>
      <c r="O57" s="35"/>
    </row>
    <row r="58" spans="10:15" x14ac:dyDescent="0.25">
      <c r="J58" s="35"/>
      <c r="K58" s="35"/>
      <c r="L58" s="35"/>
      <c r="M58" s="35"/>
      <c r="N58" s="35"/>
      <c r="O58" s="35"/>
    </row>
    <row r="59" spans="10:15" x14ac:dyDescent="0.25">
      <c r="J59" s="35"/>
      <c r="K59" s="35"/>
      <c r="L59" s="35"/>
      <c r="M59" s="35"/>
      <c r="N59" s="35"/>
      <c r="O59" s="35"/>
    </row>
    <row r="60" spans="10:15" x14ac:dyDescent="0.25">
      <c r="J60" s="35"/>
      <c r="K60" s="35"/>
      <c r="L60" s="35"/>
      <c r="M60" s="35"/>
      <c r="N60" s="35"/>
      <c r="O60" s="35"/>
    </row>
    <row r="61" spans="10:15" x14ac:dyDescent="0.25">
      <c r="J61" s="35"/>
      <c r="K61" s="35"/>
      <c r="L61" s="35"/>
      <c r="M61" s="35"/>
      <c r="N61" s="35"/>
      <c r="O61" s="35"/>
    </row>
    <row r="62" spans="10:15" x14ac:dyDescent="0.25">
      <c r="J62" s="35"/>
      <c r="K62" s="35"/>
      <c r="L62" s="35"/>
      <c r="M62" s="35"/>
      <c r="N62" s="35"/>
      <c r="O62" s="35"/>
    </row>
    <row r="63" spans="10:15" x14ac:dyDescent="0.25">
      <c r="J63" s="35"/>
      <c r="K63" s="35"/>
      <c r="L63" s="35"/>
      <c r="M63" s="35"/>
      <c r="N63" s="35"/>
      <c r="O63" s="35"/>
    </row>
    <row r="64" spans="10:15" x14ac:dyDescent="0.25">
      <c r="J64" s="35"/>
      <c r="K64" s="35"/>
      <c r="L64" s="35"/>
      <c r="M64" s="35"/>
      <c r="N64" s="35"/>
      <c r="O64" s="35"/>
    </row>
    <row r="65" spans="10:15" x14ac:dyDescent="0.25">
      <c r="J65" s="35"/>
      <c r="K65" s="35"/>
      <c r="L65" s="35"/>
      <c r="M65" s="35"/>
      <c r="N65" s="35"/>
      <c r="O65" s="35"/>
    </row>
    <row r="66" spans="10:15" x14ac:dyDescent="0.25">
      <c r="J66" s="35"/>
      <c r="K66" s="35"/>
      <c r="L66" s="35"/>
      <c r="M66" s="35"/>
      <c r="N66" s="35"/>
      <c r="O66" s="35"/>
    </row>
    <row r="67" spans="10:15" x14ac:dyDescent="0.25">
      <c r="J67" s="35"/>
      <c r="K67" s="35"/>
      <c r="L67" s="35"/>
      <c r="M67" s="35"/>
      <c r="N67" s="35"/>
      <c r="O67" s="35"/>
    </row>
    <row r="68" spans="10:15" x14ac:dyDescent="0.25">
      <c r="J68" s="35"/>
      <c r="K68" s="35"/>
      <c r="L68" s="35"/>
      <c r="M68" s="35"/>
      <c r="N68" s="35"/>
      <c r="O68" s="35"/>
    </row>
    <row r="69" spans="10:15" x14ac:dyDescent="0.25">
      <c r="J69" s="35"/>
      <c r="K69" s="35"/>
      <c r="L69" s="35"/>
      <c r="M69" s="35"/>
      <c r="N69" s="35"/>
      <c r="O69" s="35"/>
    </row>
    <row r="70" spans="10:15" x14ac:dyDescent="0.25">
      <c r="J70" s="35"/>
      <c r="K70" s="35"/>
      <c r="L70" s="35"/>
      <c r="M70" s="35"/>
      <c r="N70" s="35"/>
      <c r="O70" s="35"/>
    </row>
    <row r="71" spans="10:15" x14ac:dyDescent="0.25">
      <c r="J71" s="35"/>
      <c r="K71" s="35"/>
      <c r="L71" s="35"/>
      <c r="M71" s="35"/>
      <c r="N71" s="35"/>
      <c r="O71" s="35"/>
    </row>
    <row r="72" spans="10:15" x14ac:dyDescent="0.25">
      <c r="J72" s="35"/>
      <c r="K72" s="35"/>
      <c r="L72" s="35"/>
      <c r="M72" s="35"/>
      <c r="N72" s="35"/>
      <c r="O72" s="35"/>
    </row>
    <row r="73" spans="10:15" x14ac:dyDescent="0.25">
      <c r="J73" s="35"/>
      <c r="K73" s="35"/>
      <c r="L73" s="35"/>
      <c r="M73" s="35"/>
      <c r="N73" s="35"/>
      <c r="O73" s="35"/>
    </row>
    <row r="74" spans="10:15" x14ac:dyDescent="0.25">
      <c r="J74" s="35"/>
      <c r="K74" s="35"/>
      <c r="L74" s="35"/>
      <c r="M74" s="35"/>
      <c r="N74" s="35"/>
      <c r="O74" s="35"/>
    </row>
    <row r="75" spans="10:15" x14ac:dyDescent="0.25">
      <c r="J75" s="35"/>
      <c r="K75" s="35"/>
      <c r="L75" s="35"/>
      <c r="M75" s="35"/>
      <c r="N75" s="35"/>
      <c r="O75" s="35"/>
    </row>
    <row r="76" spans="10:15" x14ac:dyDescent="0.25">
      <c r="J76" s="35"/>
      <c r="K76" s="35"/>
      <c r="L76" s="35"/>
      <c r="M76" s="35"/>
      <c r="N76" s="35"/>
      <c r="O76" s="35"/>
    </row>
    <row r="77" spans="10:15" x14ac:dyDescent="0.25">
      <c r="J77" s="35"/>
      <c r="K77" s="35"/>
      <c r="L77" s="35"/>
      <c r="M77" s="35"/>
      <c r="N77" s="35"/>
      <c r="O77" s="35"/>
    </row>
    <row r="78" spans="10:15" x14ac:dyDescent="0.25">
      <c r="J78" s="35"/>
      <c r="K78" s="35"/>
      <c r="L78" s="35"/>
      <c r="M78" s="35"/>
      <c r="N78" s="35"/>
      <c r="O78" s="35"/>
    </row>
    <row r="79" spans="10:15" x14ac:dyDescent="0.25">
      <c r="J79" s="35"/>
      <c r="K79" s="35"/>
      <c r="L79" s="35"/>
      <c r="M79" s="35"/>
      <c r="N79" s="35"/>
      <c r="O79" s="35"/>
    </row>
    <row r="80" spans="10:15" x14ac:dyDescent="0.25">
      <c r="J80" s="35"/>
      <c r="K80" s="35"/>
      <c r="L80" s="35"/>
      <c r="M80" s="35"/>
      <c r="N80" s="35"/>
      <c r="O80" s="35"/>
    </row>
    <row r="81" spans="10:15" x14ac:dyDescent="0.25">
      <c r="J81" s="35"/>
      <c r="K81" s="35"/>
      <c r="L81" s="35"/>
      <c r="M81" s="35"/>
      <c r="N81" s="35"/>
      <c r="O81" s="35"/>
    </row>
    <row r="82" spans="10:15" x14ac:dyDescent="0.25">
      <c r="J82" s="35"/>
      <c r="K82" s="35"/>
      <c r="L82" s="35"/>
      <c r="M82" s="35"/>
      <c r="N82" s="35"/>
      <c r="O82" s="35"/>
    </row>
    <row r="83" spans="10:15" x14ac:dyDescent="0.25">
      <c r="J83" s="35"/>
      <c r="K83" s="35"/>
      <c r="L83" s="35"/>
      <c r="M83" s="35"/>
      <c r="N83" s="35"/>
      <c r="O83" s="35"/>
    </row>
    <row r="84" spans="10:15" x14ac:dyDescent="0.25">
      <c r="J84" s="35"/>
      <c r="K84" s="35"/>
      <c r="L84" s="35"/>
      <c r="M84" s="35"/>
      <c r="N84" s="35"/>
      <c r="O84" s="35"/>
    </row>
    <row r="85" spans="10:15" x14ac:dyDescent="0.25">
      <c r="J85" s="35"/>
      <c r="K85" s="35"/>
      <c r="L85" s="35"/>
      <c r="M85" s="35"/>
      <c r="N85" s="35"/>
      <c r="O85" s="35"/>
    </row>
    <row r="86" spans="10:15" x14ac:dyDescent="0.25">
      <c r="J86" s="35"/>
      <c r="K86" s="35"/>
      <c r="L86" s="35"/>
      <c r="M86" s="35"/>
      <c r="N86" s="35"/>
      <c r="O86" s="35"/>
    </row>
    <row r="87" spans="10:15" x14ac:dyDescent="0.25">
      <c r="J87" s="35"/>
      <c r="K87" s="35"/>
      <c r="L87" s="35"/>
      <c r="M87" s="35"/>
      <c r="N87" s="35"/>
      <c r="O87" s="35"/>
    </row>
    <row r="88" spans="10:15" x14ac:dyDescent="0.25">
      <c r="J88" s="35"/>
      <c r="K88" s="35"/>
      <c r="L88" s="35"/>
      <c r="M88" s="35"/>
      <c r="N88" s="35"/>
      <c r="O88" s="35"/>
    </row>
    <row r="89" spans="10:15" x14ac:dyDescent="0.25">
      <c r="J89" s="35"/>
      <c r="K89" s="35"/>
      <c r="L89" s="35"/>
      <c r="M89" s="35"/>
      <c r="N89" s="35"/>
      <c r="O89" s="35"/>
    </row>
    <row r="90" spans="10:15" x14ac:dyDescent="0.25">
      <c r="J90" s="35"/>
      <c r="K90" s="35"/>
      <c r="L90" s="35"/>
      <c r="M90" s="35"/>
      <c r="N90" s="35"/>
      <c r="O90" s="35"/>
    </row>
    <row r="91" spans="10:15" x14ac:dyDescent="0.25">
      <c r="J91" s="35"/>
      <c r="K91" s="35"/>
      <c r="L91" s="35"/>
      <c r="M91" s="35"/>
      <c r="N91" s="35"/>
      <c r="O91" s="35"/>
    </row>
    <row r="92" spans="10:15" x14ac:dyDescent="0.25">
      <c r="J92" s="35"/>
      <c r="K92" s="35"/>
      <c r="L92" s="35"/>
      <c r="M92" s="35"/>
      <c r="N92" s="35"/>
      <c r="O92" s="35"/>
    </row>
    <row r="93" spans="10:15" x14ac:dyDescent="0.25">
      <c r="J93" s="35"/>
      <c r="K93" s="35"/>
      <c r="L93" s="35"/>
      <c r="M93" s="35"/>
      <c r="N93" s="35"/>
      <c r="O93" s="35"/>
    </row>
    <row r="94" spans="10:15" x14ac:dyDescent="0.25">
      <c r="J94" s="35"/>
      <c r="K94" s="35"/>
      <c r="L94" s="35"/>
      <c r="M94" s="35"/>
      <c r="N94" s="35"/>
      <c r="O94" s="35"/>
    </row>
    <row r="95" spans="10:15" x14ac:dyDescent="0.25">
      <c r="J95" s="35"/>
      <c r="K95" s="35"/>
      <c r="L95" s="35"/>
      <c r="M95" s="35"/>
      <c r="N95" s="35"/>
      <c r="O95" s="35"/>
    </row>
    <row r="96" spans="10:15" x14ac:dyDescent="0.25">
      <c r="J96" s="35"/>
      <c r="K96" s="35"/>
      <c r="L96" s="35"/>
      <c r="M96" s="35"/>
      <c r="N96" s="35"/>
      <c r="O96" s="35"/>
    </row>
    <row r="97" spans="10:15" x14ac:dyDescent="0.25">
      <c r="J97" s="35"/>
      <c r="K97" s="35"/>
      <c r="L97" s="35"/>
      <c r="M97" s="35"/>
      <c r="N97" s="35"/>
      <c r="O97" s="35"/>
    </row>
    <row r="98" spans="10:15" x14ac:dyDescent="0.25">
      <c r="J98" s="35"/>
      <c r="K98" s="35"/>
      <c r="L98" s="35"/>
      <c r="M98" s="35"/>
      <c r="N98" s="35"/>
      <c r="O98" s="35"/>
    </row>
    <row r="99" spans="10:15" x14ac:dyDescent="0.25">
      <c r="J99" s="35"/>
      <c r="K99" s="35"/>
      <c r="L99" s="35"/>
      <c r="M99" s="35"/>
      <c r="N99" s="35"/>
      <c r="O99" s="35"/>
    </row>
    <row r="100" spans="10:15" x14ac:dyDescent="0.25">
      <c r="J100" s="35"/>
      <c r="K100" s="35"/>
      <c r="L100" s="35"/>
      <c r="M100" s="35"/>
      <c r="N100" s="35"/>
      <c r="O100" s="35"/>
    </row>
    <row r="101" spans="10:15" x14ac:dyDescent="0.25">
      <c r="J101" s="35"/>
      <c r="K101" s="35"/>
      <c r="L101" s="35"/>
      <c r="M101" s="35"/>
      <c r="N101" s="35"/>
      <c r="O101" s="35"/>
    </row>
    <row r="102" spans="10:15" x14ac:dyDescent="0.25">
      <c r="J102" s="35"/>
      <c r="K102" s="35"/>
      <c r="L102" s="35"/>
      <c r="M102" s="35"/>
      <c r="N102" s="35"/>
      <c r="O102" s="35"/>
    </row>
    <row r="103" spans="10:15" x14ac:dyDescent="0.25">
      <c r="J103" s="35"/>
      <c r="K103" s="35"/>
      <c r="L103" s="35"/>
      <c r="M103" s="35"/>
      <c r="N103" s="35"/>
      <c r="O103" s="35"/>
    </row>
    <row r="104" spans="10:15" x14ac:dyDescent="0.25">
      <c r="J104" s="35"/>
      <c r="K104" s="35"/>
      <c r="L104" s="35"/>
      <c r="M104" s="35"/>
      <c r="N104" s="35"/>
      <c r="O104" s="35"/>
    </row>
    <row r="105" spans="10:15" x14ac:dyDescent="0.25">
      <c r="J105" s="35"/>
      <c r="K105" s="35"/>
      <c r="L105" s="35"/>
      <c r="M105" s="35"/>
      <c r="N105" s="35"/>
      <c r="O105" s="35"/>
    </row>
    <row r="106" spans="10:15" x14ac:dyDescent="0.25">
      <c r="J106" s="35"/>
      <c r="K106" s="35"/>
      <c r="L106" s="35"/>
      <c r="M106" s="35"/>
      <c r="N106" s="35"/>
      <c r="O106" s="35"/>
    </row>
    <row r="107" spans="10:15" x14ac:dyDescent="0.25">
      <c r="J107" s="35"/>
      <c r="K107" s="35"/>
      <c r="L107" s="35"/>
      <c r="M107" s="35"/>
      <c r="N107" s="35"/>
      <c r="O107" s="35"/>
    </row>
    <row r="108" spans="10:15" x14ac:dyDescent="0.25">
      <c r="J108" s="35"/>
      <c r="K108" s="35"/>
      <c r="L108" s="35"/>
      <c r="M108" s="35"/>
      <c r="N108" s="35"/>
      <c r="O108" s="35"/>
    </row>
    <row r="109" spans="10:15" x14ac:dyDescent="0.25">
      <c r="J109" s="35"/>
      <c r="K109" s="35"/>
      <c r="L109" s="35"/>
      <c r="M109" s="35"/>
      <c r="N109" s="35"/>
      <c r="O109" s="35"/>
    </row>
    <row r="110" spans="10:15" x14ac:dyDescent="0.25">
      <c r="J110" s="35"/>
      <c r="K110" s="35"/>
      <c r="L110" s="35"/>
      <c r="M110" s="35"/>
      <c r="N110" s="35"/>
      <c r="O110" s="35"/>
    </row>
    <row r="111" spans="10:15" x14ac:dyDescent="0.25">
      <c r="J111" s="35"/>
      <c r="K111" s="35"/>
      <c r="L111" s="35"/>
      <c r="M111" s="35"/>
      <c r="N111" s="35"/>
      <c r="O111" s="35"/>
    </row>
    <row r="112" spans="10:15" x14ac:dyDescent="0.25">
      <c r="J112" s="35"/>
      <c r="K112" s="35"/>
      <c r="L112" s="35"/>
      <c r="M112" s="35"/>
      <c r="N112" s="35"/>
      <c r="O112" s="35"/>
    </row>
    <row r="113" spans="10:15" x14ac:dyDescent="0.25">
      <c r="J113" s="35"/>
      <c r="K113" s="35"/>
      <c r="L113" s="35"/>
      <c r="M113" s="35"/>
      <c r="N113" s="35"/>
      <c r="O113" s="35"/>
    </row>
    <row r="114" spans="10:15" x14ac:dyDescent="0.25">
      <c r="J114" s="35"/>
      <c r="K114" s="35"/>
      <c r="L114" s="35"/>
      <c r="M114" s="35"/>
      <c r="N114" s="35"/>
      <c r="O114" s="35"/>
    </row>
    <row r="115" spans="10:15" x14ac:dyDescent="0.25">
      <c r="J115" s="35"/>
      <c r="K115" s="35"/>
      <c r="L115" s="35"/>
      <c r="M115" s="35"/>
      <c r="N115" s="35"/>
      <c r="O115" s="35"/>
    </row>
    <row r="116" spans="10:15" x14ac:dyDescent="0.25">
      <c r="J116" s="35"/>
      <c r="K116" s="35"/>
      <c r="L116" s="35"/>
      <c r="M116" s="35"/>
      <c r="N116" s="35"/>
      <c r="O116" s="35"/>
    </row>
    <row r="117" spans="10:15" x14ac:dyDescent="0.25">
      <c r="J117" s="35"/>
      <c r="K117" s="35"/>
      <c r="L117" s="35"/>
      <c r="M117" s="35"/>
      <c r="N117" s="35"/>
      <c r="O117" s="35"/>
    </row>
    <row r="118" spans="10:15" x14ac:dyDescent="0.25">
      <c r="J118" s="35"/>
      <c r="K118" s="35"/>
      <c r="L118" s="35"/>
      <c r="M118" s="35"/>
      <c r="N118" s="35"/>
      <c r="O118" s="35"/>
    </row>
    <row r="119" spans="10:15" x14ac:dyDescent="0.25">
      <c r="J119" s="35"/>
      <c r="K119" s="35"/>
      <c r="L119" s="35"/>
      <c r="M119" s="35"/>
      <c r="N119" s="35"/>
      <c r="O119" s="35"/>
    </row>
    <row r="120" spans="10:15" x14ac:dyDescent="0.25">
      <c r="J120" s="35"/>
      <c r="K120" s="35"/>
      <c r="L120" s="35"/>
      <c r="M120" s="35"/>
      <c r="N120" s="35"/>
      <c r="O120" s="35"/>
    </row>
    <row r="121" spans="10:15" x14ac:dyDescent="0.25">
      <c r="J121" s="35"/>
      <c r="K121" s="35"/>
      <c r="L121" s="35"/>
      <c r="M121" s="35"/>
      <c r="N121" s="35"/>
      <c r="O121" s="35"/>
    </row>
    <row r="122" spans="10:15" x14ac:dyDescent="0.25">
      <c r="J122" s="35"/>
      <c r="K122" s="35"/>
      <c r="L122" s="35"/>
      <c r="M122" s="35"/>
      <c r="N122" s="35"/>
      <c r="O122" s="35"/>
    </row>
    <row r="123" spans="10:15" x14ac:dyDescent="0.25">
      <c r="J123" s="35"/>
      <c r="K123" s="35"/>
      <c r="L123" s="35"/>
      <c r="M123" s="35"/>
      <c r="N123" s="35"/>
      <c r="O123" s="35"/>
    </row>
    <row r="124" spans="10:15" x14ac:dyDescent="0.25">
      <c r="J124" s="35"/>
      <c r="K124" s="35"/>
      <c r="L124" s="35"/>
      <c r="M124" s="35"/>
      <c r="N124" s="35"/>
      <c r="O124" s="35"/>
    </row>
    <row r="125" spans="10:15" x14ac:dyDescent="0.25">
      <c r="J125" s="35"/>
      <c r="K125" s="35"/>
      <c r="L125" s="35"/>
      <c r="M125" s="35"/>
      <c r="N125" s="35"/>
      <c r="O125" s="35"/>
    </row>
    <row r="126" spans="10:15" x14ac:dyDescent="0.25">
      <c r="J126" s="35"/>
      <c r="K126" s="35"/>
      <c r="L126" s="35"/>
      <c r="M126" s="35"/>
      <c r="N126" s="35"/>
      <c r="O126" s="35"/>
    </row>
    <row r="127" spans="10:15" x14ac:dyDescent="0.25">
      <c r="J127" s="35"/>
      <c r="K127" s="35"/>
      <c r="L127" s="35"/>
      <c r="M127" s="35"/>
      <c r="N127" s="35"/>
      <c r="O127" s="35"/>
    </row>
    <row r="128" spans="10:15" x14ac:dyDescent="0.25">
      <c r="J128" s="35"/>
      <c r="K128" s="35"/>
      <c r="L128" s="35"/>
      <c r="M128" s="35"/>
      <c r="N128" s="35"/>
      <c r="O128" s="35"/>
    </row>
    <row r="129" spans="10:15" x14ac:dyDescent="0.25">
      <c r="J129" s="35"/>
      <c r="K129" s="35"/>
      <c r="L129" s="35"/>
      <c r="M129" s="35"/>
      <c r="N129" s="35"/>
      <c r="O129" s="35"/>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8193" r:id="rId3" name="Drop Down 1">
              <controlPr defaultSize="0" autoLine="0" autoPict="0">
                <anchor moveWithCells="1">
                  <from>
                    <xdr:col>1</xdr:col>
                    <xdr:colOff>581025</xdr:colOff>
                    <xdr:row>0</xdr:row>
                    <xdr:rowOff>19050</xdr:rowOff>
                  </from>
                  <to>
                    <xdr:col>3</xdr:col>
                    <xdr:colOff>476250</xdr:colOff>
                    <xdr:row>0</xdr:row>
                    <xdr:rowOff>171450</xdr:rowOff>
                  </to>
                </anchor>
              </controlPr>
            </control>
          </mc:Choice>
        </mc:AlternateContent>
      </controls>
    </mc:Choice>
  </mc:AlternateConten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8" tint="-0.249977111117893"/>
  </sheetPr>
  <dimension ref="B1:N96"/>
  <sheetViews>
    <sheetView showGridLines="0" workbookViewId="0">
      <pane ySplit="3" topLeftCell="A4" activePane="bottomLeft" state="frozen"/>
      <selection pane="bottomLeft" activeCell="N1" sqref="N1"/>
    </sheetView>
  </sheetViews>
  <sheetFormatPr defaultRowHeight="15" x14ac:dyDescent="0.25"/>
  <cols>
    <col min="3" max="3" width="4" customWidth="1"/>
    <col min="10" max="14" width="14.28515625" bestFit="1" customWidth="1"/>
  </cols>
  <sheetData>
    <row r="1" spans="2:14" x14ac:dyDescent="0.25">
      <c r="B1" s="21" t="s">
        <v>41</v>
      </c>
      <c r="H1" s="21"/>
      <c r="I1" s="21" t="s">
        <v>3</v>
      </c>
      <c r="M1" s="22" t="s">
        <v>42</v>
      </c>
      <c r="N1" s="119" t="s">
        <v>266</v>
      </c>
    </row>
    <row r="2" spans="2:14" ht="21" x14ac:dyDescent="0.35">
      <c r="D2" s="78" t="s">
        <v>171</v>
      </c>
      <c r="E2" s="18"/>
      <c r="F2" s="18"/>
      <c r="G2" s="18"/>
      <c r="H2" s="18"/>
      <c r="I2" s="18"/>
      <c r="J2" s="18"/>
      <c r="K2" s="18"/>
      <c r="L2" s="18"/>
      <c r="M2" s="18"/>
      <c r="N2" s="18"/>
    </row>
    <row r="3" spans="2:14" ht="15.75" thickBot="1" x14ac:dyDescent="0.3">
      <c r="I3" s="66">
        <v>2024</v>
      </c>
      <c r="J3" s="69">
        <f>I3+1</f>
        <v>2025</v>
      </c>
      <c r="K3" s="69">
        <f>J3+1</f>
        <v>2026</v>
      </c>
      <c r="L3" s="69">
        <f>K3+1</f>
        <v>2027</v>
      </c>
      <c r="M3" s="69">
        <f>L3+1</f>
        <v>2028</v>
      </c>
      <c r="N3" s="69">
        <f>M3+1</f>
        <v>2029</v>
      </c>
    </row>
    <row r="4" spans="2:14" ht="15.75" thickTop="1" x14ac:dyDescent="0.25">
      <c r="C4" s="24" t="s">
        <v>172</v>
      </c>
    </row>
    <row r="5" spans="2:14" x14ac:dyDescent="0.25">
      <c r="C5" s="24"/>
      <c r="D5" t="s">
        <v>174</v>
      </c>
      <c r="I5" s="35"/>
      <c r="J5" s="36">
        <f>'Income Statement'!I18</f>
        <v>25104320</v>
      </c>
      <c r="K5" s="36">
        <f>'Income Statement'!J18</f>
        <v>28736362.752000004</v>
      </c>
      <c r="L5" s="36">
        <f>'Income Statement'!K18</f>
        <v>34977725.537280008</v>
      </c>
      <c r="M5" s="36">
        <f>'Income Statement'!L18</f>
        <v>41922879.112499222</v>
      </c>
      <c r="N5" s="36">
        <f>'Income Statement'!M18</f>
        <v>50034154.188249111</v>
      </c>
    </row>
    <row r="6" spans="2:14" x14ac:dyDescent="0.25">
      <c r="C6" s="24"/>
      <c r="D6" t="s">
        <v>173</v>
      </c>
      <c r="I6" s="35"/>
      <c r="J6" s="36"/>
      <c r="K6" s="36"/>
      <c r="L6" s="36"/>
      <c r="M6" s="36"/>
      <c r="N6" s="36"/>
    </row>
    <row r="7" spans="2:14" x14ac:dyDescent="0.25">
      <c r="C7" s="24"/>
      <c r="E7" t="s">
        <v>122</v>
      </c>
      <c r="I7" s="35"/>
      <c r="J7" s="36">
        <f>-'Income Statement'!I14</f>
        <v>2104800</v>
      </c>
      <c r="K7" s="36">
        <f>-'Income Statement'!J14</f>
        <v>2104800</v>
      </c>
      <c r="L7" s="36">
        <f>-'Income Statement'!K14</f>
        <v>2104800</v>
      </c>
      <c r="M7" s="36">
        <f>-'Income Statement'!L14</f>
        <v>2274800</v>
      </c>
      <c r="N7" s="36">
        <f>-'Income Statement'!M14</f>
        <v>2274800</v>
      </c>
    </row>
    <row r="8" spans="2:14" x14ac:dyDescent="0.25">
      <c r="C8" s="24" t="s">
        <v>175</v>
      </c>
      <c r="I8" s="35"/>
      <c r="J8" s="71">
        <f>SUM(J5:J7)</f>
        <v>27209120</v>
      </c>
      <c r="K8" s="71">
        <f>SUM(K5:K7)</f>
        <v>30841162.752000004</v>
      </c>
      <c r="L8" s="71">
        <f>SUM(L5:L7)</f>
        <v>37082525.537280008</v>
      </c>
      <c r="M8" s="71">
        <f>SUM(M5:M7)</f>
        <v>44197679.112499222</v>
      </c>
      <c r="N8" s="71">
        <f>SUM(N5:N7)</f>
        <v>52308954.188249111</v>
      </c>
    </row>
    <row r="9" spans="2:14" x14ac:dyDescent="0.25">
      <c r="C9" s="24"/>
      <c r="D9" t="s">
        <v>176</v>
      </c>
      <c r="I9" s="35"/>
      <c r="J9" s="35"/>
      <c r="K9" s="35"/>
      <c r="L9" s="35"/>
      <c r="M9" s="35"/>
      <c r="N9" s="35"/>
    </row>
    <row r="10" spans="2:14" x14ac:dyDescent="0.25">
      <c r="C10" s="24"/>
      <c r="E10" t="s">
        <v>59</v>
      </c>
      <c r="I10" s="35"/>
      <c r="J10" s="36">
        <f>'Balance Sheet'!J12-'Balance Sheet'!K12</f>
        <v>-5927040</v>
      </c>
      <c r="K10" s="36">
        <f>'Balance Sheet'!K12-'Balance Sheet'!L12</f>
        <v>-857049.98399999924</v>
      </c>
      <c r="L10" s="36">
        <f>'Balance Sheet'!L12-'Balance Sheet'!M12</f>
        <v>-949772.5977600012</v>
      </c>
      <c r="M10" s="36">
        <f>'Balance Sheet'!M12-'Balance Sheet'!N12</f>
        <v>-1082740.7614464015</v>
      </c>
      <c r="N10" s="36">
        <f>'Balance Sheet'!N12-'Balance Sheet'!O12</f>
        <v>-1234324.4680488948</v>
      </c>
    </row>
    <row r="11" spans="2:14" x14ac:dyDescent="0.25">
      <c r="C11" s="24"/>
      <c r="E11" t="s">
        <v>140</v>
      </c>
      <c r="I11" s="35"/>
      <c r="J11" s="36">
        <f>'Balance Sheet'!K25-'Balance Sheet'!J25</f>
        <v>235200</v>
      </c>
      <c r="K11" s="36">
        <f>'Balance Sheet'!L25-'Balance Sheet'!K25</f>
        <v>34009.919999999984</v>
      </c>
      <c r="L11" s="36">
        <f>'Balance Sheet'!M25-'Balance Sheet'!L25</f>
        <v>37689.388800000073</v>
      </c>
      <c r="M11" s="36">
        <f>'Balance Sheet'!N25-'Balance Sheet'!M25</f>
        <v>42965.903232000011</v>
      </c>
      <c r="N11" s="36">
        <f>'Balance Sheet'!O25-'Balance Sheet'!N25</f>
        <v>48981.129684479965</v>
      </c>
    </row>
    <row r="12" spans="2:14" x14ac:dyDescent="0.25">
      <c r="C12" s="24" t="s">
        <v>177</v>
      </c>
      <c r="I12" s="35"/>
      <c r="J12" s="71">
        <f>SUM(J8:J11)</f>
        <v>21517280</v>
      </c>
      <c r="K12" s="71">
        <f>SUM(K8:K11)</f>
        <v>30018122.688000008</v>
      </c>
      <c r="L12" s="71">
        <f>SUM(L8:L11)</f>
        <v>36170442.328320011</v>
      </c>
      <c r="M12" s="71">
        <f>SUM(M8:M11)</f>
        <v>43157904.254284821</v>
      </c>
      <c r="N12" s="71">
        <f>SUM(N8:N11)</f>
        <v>51123610.849884696</v>
      </c>
    </row>
    <row r="13" spans="2:14" ht="15.75" thickBot="1" x14ac:dyDescent="0.3">
      <c r="C13" s="24"/>
      <c r="I13" s="35"/>
      <c r="J13" s="35"/>
      <c r="K13" s="35"/>
      <c r="L13" s="35"/>
      <c r="M13" s="35"/>
      <c r="N13" s="35"/>
    </row>
    <row r="14" spans="2:14" ht="15.75" thickBot="1" x14ac:dyDescent="0.3">
      <c r="C14" s="24" t="s">
        <v>178</v>
      </c>
      <c r="I14" s="35"/>
      <c r="J14" s="80">
        <f>J12</f>
        <v>21517280</v>
      </c>
      <c r="K14" s="80">
        <f>K12</f>
        <v>30018122.688000008</v>
      </c>
      <c r="L14" s="80">
        <f>L12</f>
        <v>36170442.328320011</v>
      </c>
      <c r="M14" s="80">
        <f>M12</f>
        <v>43157904.254284821</v>
      </c>
      <c r="N14" s="80">
        <f>N12</f>
        <v>51123610.849884696</v>
      </c>
    </row>
    <row r="15" spans="2:14" x14ac:dyDescent="0.25">
      <c r="C15" s="24"/>
      <c r="I15" s="35"/>
      <c r="J15" s="35"/>
      <c r="K15" s="35"/>
      <c r="L15" s="35"/>
      <c r="M15" s="35"/>
      <c r="N15" s="35"/>
    </row>
    <row r="16" spans="2:14" x14ac:dyDescent="0.25">
      <c r="C16" s="24" t="s">
        <v>179</v>
      </c>
      <c r="I16" s="35"/>
      <c r="J16" s="35"/>
      <c r="K16" s="35"/>
      <c r="L16" s="35"/>
      <c r="M16" s="35"/>
      <c r="N16" s="35"/>
    </row>
    <row r="17" spans="3:14" x14ac:dyDescent="0.25">
      <c r="C17" s="24"/>
      <c r="D17" t="s">
        <v>154</v>
      </c>
      <c r="I17" s="35"/>
      <c r="J17" s="36">
        <f>-Workings!K53</f>
        <v>-10000000</v>
      </c>
      <c r="K17" s="36">
        <f>-Workings!L53</f>
        <v>0</v>
      </c>
      <c r="L17" s="36">
        <f>-Workings!M53</f>
        <v>0</v>
      </c>
      <c r="M17" s="36">
        <f>-Workings!N53</f>
        <v>-850000</v>
      </c>
      <c r="N17" s="36">
        <f>-Workings!O53</f>
        <v>0</v>
      </c>
    </row>
    <row r="18" spans="3:14" ht="15.75" thickBot="1" x14ac:dyDescent="0.3">
      <c r="C18" s="24"/>
      <c r="I18" s="35"/>
      <c r="J18" s="35"/>
      <c r="K18" s="35"/>
      <c r="L18" s="35"/>
      <c r="M18" s="35"/>
      <c r="N18" s="35"/>
    </row>
    <row r="19" spans="3:14" ht="15.75" thickBot="1" x14ac:dyDescent="0.3">
      <c r="C19" s="24" t="s">
        <v>183</v>
      </c>
      <c r="I19" s="35"/>
      <c r="J19" s="80">
        <f>SUM(J17:J18)</f>
        <v>-10000000</v>
      </c>
      <c r="K19" s="80">
        <f>SUM(K17:K18)</f>
        <v>0</v>
      </c>
      <c r="L19" s="80">
        <f>SUM(L17:L18)</f>
        <v>0</v>
      </c>
      <c r="M19" s="80">
        <f>SUM(M17:M18)</f>
        <v>-850000</v>
      </c>
      <c r="N19" s="80">
        <f>SUM(N17:N18)</f>
        <v>0</v>
      </c>
    </row>
    <row r="20" spans="3:14" x14ac:dyDescent="0.25">
      <c r="C20" s="24"/>
      <c r="I20" s="35"/>
      <c r="J20" s="35"/>
      <c r="K20" s="35"/>
      <c r="L20" s="35"/>
      <c r="M20" s="35"/>
      <c r="N20" s="35"/>
    </row>
    <row r="21" spans="3:14" x14ac:dyDescent="0.25">
      <c r="C21" s="24" t="s">
        <v>180</v>
      </c>
      <c r="I21" s="35"/>
      <c r="J21" s="35"/>
      <c r="K21" s="35"/>
      <c r="L21" s="35"/>
      <c r="M21" s="35"/>
      <c r="N21" s="35"/>
    </row>
    <row r="22" spans="3:14" x14ac:dyDescent="0.25">
      <c r="C22" s="24"/>
      <c r="D22" t="s">
        <v>181</v>
      </c>
      <c r="I22" s="35"/>
      <c r="J22" s="36">
        <f>Workings!K90</f>
        <v>17537693.333333332</v>
      </c>
      <c r="K22" s="36">
        <f>Workings!L90</f>
        <v>0</v>
      </c>
      <c r="L22" s="36">
        <f>Workings!M90</f>
        <v>0</v>
      </c>
      <c r="M22" s="36">
        <f>Workings!N90</f>
        <v>0</v>
      </c>
      <c r="N22" s="36">
        <f>Workings!O90</f>
        <v>0</v>
      </c>
    </row>
    <row r="23" spans="3:14" x14ac:dyDescent="0.25">
      <c r="C23" s="24"/>
      <c r="D23" t="s">
        <v>182</v>
      </c>
      <c r="I23" s="35"/>
      <c r="J23" s="36">
        <f>Workings!K91</f>
        <v>0</v>
      </c>
      <c r="K23" s="36"/>
      <c r="L23" s="36"/>
      <c r="M23" s="36"/>
      <c r="N23" s="36"/>
    </row>
    <row r="24" spans="3:14" x14ac:dyDescent="0.25">
      <c r="D24" t="s">
        <v>146</v>
      </c>
      <c r="I24" s="35"/>
      <c r="J24" s="36">
        <f>'Income Statement'!H20</f>
        <v>0</v>
      </c>
      <c r="K24" s="36">
        <f>'Income Statement'!I20</f>
        <v>-6276080</v>
      </c>
      <c r="L24" s="36">
        <f>'Income Statement'!J20</f>
        <v>-7184090.688000001</v>
      </c>
      <c r="M24" s="36">
        <f>'Income Statement'!K20</f>
        <v>-8744431.384320002</v>
      </c>
      <c r="N24" s="36">
        <f>'Income Statement'!L20</f>
        <v>-10480719.778124806</v>
      </c>
    </row>
    <row r="25" spans="3:14" ht="15.75" thickBot="1" x14ac:dyDescent="0.3">
      <c r="I25" s="35"/>
      <c r="J25" s="35"/>
      <c r="K25" s="35"/>
      <c r="L25" s="35"/>
      <c r="M25" s="35"/>
      <c r="N25" s="35"/>
    </row>
    <row r="26" spans="3:14" ht="15.75" thickBot="1" x14ac:dyDescent="0.3">
      <c r="C26" s="24" t="s">
        <v>184</v>
      </c>
      <c r="I26" s="35"/>
      <c r="J26" s="80">
        <f>SUM(J22:J25)</f>
        <v>17537693.333333332</v>
      </c>
      <c r="K26" s="80">
        <f>SUM(K22:K25)</f>
        <v>-6276080</v>
      </c>
      <c r="L26" s="80">
        <f>SUM(L22:L25)</f>
        <v>-7184090.688000001</v>
      </c>
      <c r="M26" s="80">
        <f>SUM(M22:M25)</f>
        <v>-8744431.384320002</v>
      </c>
      <c r="N26" s="80">
        <f>SUM(N22:N25)</f>
        <v>-10480719.778124806</v>
      </c>
    </row>
    <row r="27" spans="3:14" x14ac:dyDescent="0.25">
      <c r="I27" s="35"/>
      <c r="J27" s="35"/>
      <c r="K27" s="35"/>
      <c r="L27" s="35"/>
      <c r="M27" s="35"/>
      <c r="N27" s="35"/>
    </row>
    <row r="28" spans="3:14" x14ac:dyDescent="0.25">
      <c r="C28" s="24" t="s">
        <v>185</v>
      </c>
      <c r="I28" s="35"/>
      <c r="J28" s="36">
        <f>J14+J19+J26</f>
        <v>29054973.333333332</v>
      </c>
      <c r="K28" s="36">
        <f>K14+K19+K26</f>
        <v>23742042.688000008</v>
      </c>
      <c r="L28" s="36">
        <f>L14+L19+L26</f>
        <v>28986351.64032001</v>
      </c>
      <c r="M28" s="36">
        <f>M14+M19+M26</f>
        <v>33563472.869964823</v>
      </c>
      <c r="N28" s="36">
        <f>N14+N19+N26</f>
        <v>40642891.071759894</v>
      </c>
    </row>
    <row r="29" spans="3:14" ht="15.75" thickBot="1" x14ac:dyDescent="0.3">
      <c r="C29" t="s">
        <v>186</v>
      </c>
      <c r="I29" s="35"/>
      <c r="J29" s="36">
        <f>I30</f>
        <v>0</v>
      </c>
      <c r="K29" s="36">
        <f>J30</f>
        <v>29054973.333333332</v>
      </c>
      <c r="L29" s="36">
        <f>K30</f>
        <v>52797016.021333337</v>
      </c>
      <c r="M29" s="36">
        <f>L30</f>
        <v>81783367.66165334</v>
      </c>
      <c r="N29" s="36">
        <f>M30</f>
        <v>115346840.53161816</v>
      </c>
    </row>
    <row r="30" spans="3:14" ht="15.75" thickBot="1" x14ac:dyDescent="0.3">
      <c r="C30" s="24" t="s">
        <v>187</v>
      </c>
      <c r="I30" s="35"/>
      <c r="J30" s="81">
        <f>J28+J29</f>
        <v>29054973.333333332</v>
      </c>
      <c r="K30" s="81">
        <f>K28+K29</f>
        <v>52797016.021333337</v>
      </c>
      <c r="L30" s="81">
        <f>L28+L29</f>
        <v>81783367.66165334</v>
      </c>
      <c r="M30" s="81">
        <f>M28+M29</f>
        <v>115346840.53161816</v>
      </c>
      <c r="N30" s="81">
        <f>N28+N29</f>
        <v>155989731.60337806</v>
      </c>
    </row>
    <row r="31" spans="3:14" x14ac:dyDescent="0.25">
      <c r="I31" s="35"/>
      <c r="J31" s="35"/>
      <c r="K31" s="35"/>
      <c r="L31" s="35"/>
      <c r="M31" s="35"/>
      <c r="N31" s="35"/>
    </row>
    <row r="32" spans="3:14" x14ac:dyDescent="0.25">
      <c r="I32" s="35"/>
      <c r="J32" s="35"/>
      <c r="K32" s="35"/>
      <c r="L32" s="35"/>
      <c r="M32" s="35"/>
      <c r="N32" s="35"/>
    </row>
    <row r="33" spans="9:14" x14ac:dyDescent="0.25">
      <c r="I33" s="35"/>
      <c r="J33" s="35"/>
      <c r="K33" s="35"/>
      <c r="L33" s="35"/>
      <c r="M33" s="35"/>
      <c r="N33" s="35"/>
    </row>
    <row r="34" spans="9:14" x14ac:dyDescent="0.25">
      <c r="I34" s="35"/>
      <c r="J34" s="35"/>
      <c r="K34" s="35"/>
      <c r="L34" s="35"/>
      <c r="M34" s="35"/>
      <c r="N34" s="35"/>
    </row>
    <row r="35" spans="9:14" x14ac:dyDescent="0.25">
      <c r="I35" s="35"/>
      <c r="J35" s="35"/>
      <c r="K35" s="35"/>
      <c r="L35" s="35"/>
      <c r="M35" s="35"/>
      <c r="N35" s="35"/>
    </row>
    <row r="36" spans="9:14" x14ac:dyDescent="0.25">
      <c r="I36" s="35"/>
      <c r="J36" s="35"/>
      <c r="K36" s="35"/>
      <c r="L36" s="35"/>
      <c r="M36" s="35"/>
      <c r="N36" s="35"/>
    </row>
    <row r="37" spans="9:14" x14ac:dyDescent="0.25">
      <c r="I37" s="35"/>
      <c r="J37" s="35"/>
      <c r="K37" s="35"/>
      <c r="L37" s="35"/>
      <c r="M37" s="35"/>
      <c r="N37" s="35"/>
    </row>
    <row r="38" spans="9:14" x14ac:dyDescent="0.25">
      <c r="I38" s="35"/>
      <c r="J38" s="35"/>
      <c r="K38" s="35"/>
      <c r="L38" s="35"/>
      <c r="M38" s="35"/>
      <c r="N38" s="35"/>
    </row>
    <row r="39" spans="9:14" x14ac:dyDescent="0.25">
      <c r="I39" s="35"/>
      <c r="J39" s="35"/>
      <c r="K39" s="35"/>
      <c r="L39" s="35"/>
      <c r="M39" s="35"/>
      <c r="N39" s="35"/>
    </row>
    <row r="40" spans="9:14" x14ac:dyDescent="0.25">
      <c r="I40" s="35"/>
      <c r="J40" s="35"/>
      <c r="K40" s="35"/>
      <c r="L40" s="35"/>
      <c r="M40" s="35"/>
      <c r="N40" s="35"/>
    </row>
    <row r="41" spans="9:14" x14ac:dyDescent="0.25">
      <c r="I41" s="35"/>
      <c r="J41" s="35"/>
      <c r="K41" s="35"/>
      <c r="L41" s="35"/>
      <c r="M41" s="35"/>
      <c r="N41" s="35"/>
    </row>
    <row r="42" spans="9:14" x14ac:dyDescent="0.25">
      <c r="I42" s="35"/>
      <c r="J42" s="35"/>
      <c r="K42" s="35"/>
      <c r="L42" s="35"/>
      <c r="M42" s="35"/>
      <c r="N42" s="35"/>
    </row>
    <row r="43" spans="9:14" x14ac:dyDescent="0.25">
      <c r="I43" s="35"/>
      <c r="J43" s="35"/>
      <c r="K43" s="35"/>
      <c r="L43" s="35"/>
      <c r="M43" s="35"/>
      <c r="N43" s="35"/>
    </row>
    <row r="44" spans="9:14" x14ac:dyDescent="0.25">
      <c r="I44" s="35"/>
      <c r="J44" s="35"/>
      <c r="K44" s="35"/>
      <c r="L44" s="35"/>
      <c r="M44" s="35"/>
      <c r="N44" s="35"/>
    </row>
    <row r="45" spans="9:14" x14ac:dyDescent="0.25">
      <c r="I45" s="35"/>
      <c r="J45" s="35"/>
      <c r="K45" s="35"/>
      <c r="L45" s="35"/>
      <c r="M45" s="35"/>
      <c r="N45" s="35"/>
    </row>
    <row r="46" spans="9:14" x14ac:dyDescent="0.25">
      <c r="I46" s="35"/>
      <c r="J46" s="35"/>
      <c r="K46" s="35"/>
      <c r="L46" s="35"/>
      <c r="M46" s="35"/>
      <c r="N46" s="35"/>
    </row>
    <row r="47" spans="9:14" x14ac:dyDescent="0.25">
      <c r="I47" s="35"/>
      <c r="J47" s="35"/>
      <c r="K47" s="35"/>
      <c r="L47" s="35"/>
      <c r="M47" s="35"/>
      <c r="N47" s="35"/>
    </row>
    <row r="48" spans="9:14" x14ac:dyDescent="0.25">
      <c r="I48" s="35"/>
      <c r="J48" s="35"/>
      <c r="K48" s="35"/>
      <c r="L48" s="35"/>
      <c r="M48" s="35"/>
      <c r="N48" s="35"/>
    </row>
    <row r="49" spans="9:14" x14ac:dyDescent="0.25">
      <c r="I49" s="35"/>
      <c r="J49" s="35"/>
      <c r="K49" s="35"/>
      <c r="L49" s="35"/>
      <c r="M49" s="35"/>
      <c r="N49" s="35"/>
    </row>
    <row r="50" spans="9:14" x14ac:dyDescent="0.25">
      <c r="I50" s="35"/>
      <c r="J50" s="35"/>
      <c r="K50" s="35"/>
      <c r="L50" s="35"/>
      <c r="M50" s="35"/>
      <c r="N50" s="35"/>
    </row>
    <row r="51" spans="9:14" x14ac:dyDescent="0.25">
      <c r="I51" s="35"/>
      <c r="J51" s="35"/>
      <c r="K51" s="35"/>
      <c r="L51" s="35"/>
      <c r="M51" s="35"/>
      <c r="N51" s="35"/>
    </row>
    <row r="52" spans="9:14" x14ac:dyDescent="0.25">
      <c r="I52" s="35"/>
      <c r="J52" s="35"/>
      <c r="K52" s="35"/>
      <c r="L52" s="35"/>
      <c r="M52" s="35"/>
      <c r="N52" s="35"/>
    </row>
    <row r="53" spans="9:14" x14ac:dyDescent="0.25">
      <c r="I53" s="35"/>
      <c r="J53" s="35"/>
      <c r="K53" s="35"/>
      <c r="L53" s="35"/>
      <c r="M53" s="35"/>
      <c r="N53" s="35"/>
    </row>
    <row r="54" spans="9:14" x14ac:dyDescent="0.25">
      <c r="I54" s="35"/>
      <c r="J54" s="35"/>
      <c r="K54" s="35"/>
      <c r="L54" s="35"/>
      <c r="M54" s="35"/>
      <c r="N54" s="35"/>
    </row>
    <row r="55" spans="9:14" x14ac:dyDescent="0.25">
      <c r="I55" s="35"/>
      <c r="J55" s="35"/>
      <c r="K55" s="35"/>
      <c r="L55" s="35"/>
      <c r="M55" s="35"/>
      <c r="N55" s="35"/>
    </row>
    <row r="56" spans="9:14" x14ac:dyDescent="0.25">
      <c r="I56" s="35"/>
      <c r="J56" s="35"/>
      <c r="K56" s="35"/>
      <c r="L56" s="35"/>
      <c r="M56" s="35"/>
      <c r="N56" s="35"/>
    </row>
    <row r="57" spans="9:14" x14ac:dyDescent="0.25">
      <c r="I57" s="35"/>
      <c r="J57" s="35"/>
      <c r="K57" s="35"/>
      <c r="L57" s="35"/>
      <c r="M57" s="35"/>
      <c r="N57" s="35"/>
    </row>
    <row r="58" spans="9:14" x14ac:dyDescent="0.25">
      <c r="I58" s="35"/>
      <c r="J58" s="35"/>
      <c r="K58" s="35"/>
      <c r="L58" s="35"/>
      <c r="M58" s="35"/>
      <c r="N58" s="35"/>
    </row>
    <row r="59" spans="9:14" x14ac:dyDescent="0.25">
      <c r="I59" s="35"/>
      <c r="J59" s="35"/>
      <c r="K59" s="35"/>
      <c r="L59" s="35"/>
      <c r="M59" s="35"/>
      <c r="N59" s="35"/>
    </row>
    <row r="60" spans="9:14" x14ac:dyDescent="0.25">
      <c r="I60" s="35"/>
      <c r="J60" s="35"/>
      <c r="K60" s="35"/>
      <c r="L60" s="35"/>
      <c r="M60" s="35"/>
      <c r="N60" s="35"/>
    </row>
    <row r="61" spans="9:14" x14ac:dyDescent="0.25">
      <c r="I61" s="35"/>
      <c r="J61" s="35"/>
      <c r="K61" s="35"/>
      <c r="L61" s="35"/>
      <c r="M61" s="35"/>
      <c r="N61" s="35"/>
    </row>
    <row r="62" spans="9:14" x14ac:dyDescent="0.25">
      <c r="I62" s="35"/>
      <c r="J62" s="35"/>
      <c r="K62" s="35"/>
      <c r="L62" s="35"/>
      <c r="M62" s="35"/>
      <c r="N62" s="35"/>
    </row>
    <row r="63" spans="9:14" x14ac:dyDescent="0.25">
      <c r="I63" s="35"/>
      <c r="J63" s="35"/>
      <c r="K63" s="35"/>
      <c r="L63" s="35"/>
      <c r="M63" s="35"/>
      <c r="N63" s="35"/>
    </row>
    <row r="64" spans="9:14" x14ac:dyDescent="0.25">
      <c r="I64" s="35"/>
      <c r="J64" s="35"/>
      <c r="K64" s="35"/>
      <c r="L64" s="35"/>
      <c r="M64" s="35"/>
      <c r="N64" s="35"/>
    </row>
    <row r="65" spans="9:14" x14ac:dyDescent="0.25">
      <c r="I65" s="35"/>
      <c r="J65" s="35"/>
      <c r="K65" s="35"/>
      <c r="L65" s="35"/>
      <c r="M65" s="35"/>
      <c r="N65" s="35"/>
    </row>
    <row r="66" spans="9:14" x14ac:dyDescent="0.25">
      <c r="I66" s="35"/>
      <c r="J66" s="35"/>
      <c r="K66" s="35"/>
      <c r="L66" s="35"/>
      <c r="M66" s="35"/>
      <c r="N66" s="35"/>
    </row>
    <row r="67" spans="9:14" x14ac:dyDescent="0.25">
      <c r="I67" s="35"/>
      <c r="J67" s="35"/>
      <c r="K67" s="35"/>
      <c r="L67" s="35"/>
      <c r="M67" s="35"/>
      <c r="N67" s="35"/>
    </row>
    <row r="68" spans="9:14" x14ac:dyDescent="0.25">
      <c r="I68" s="35"/>
      <c r="J68" s="35"/>
      <c r="K68" s="35"/>
      <c r="L68" s="35"/>
      <c r="M68" s="35"/>
      <c r="N68" s="35"/>
    </row>
    <row r="69" spans="9:14" x14ac:dyDescent="0.25">
      <c r="I69" s="35"/>
      <c r="J69" s="35"/>
      <c r="K69" s="35"/>
      <c r="L69" s="35"/>
      <c r="M69" s="35"/>
      <c r="N69" s="35"/>
    </row>
    <row r="70" spans="9:14" x14ac:dyDescent="0.25">
      <c r="I70" s="35"/>
      <c r="J70" s="35"/>
      <c r="K70" s="35"/>
      <c r="L70" s="35"/>
      <c r="M70" s="35"/>
      <c r="N70" s="35"/>
    </row>
    <row r="71" spans="9:14" x14ac:dyDescent="0.25">
      <c r="I71" s="35"/>
      <c r="J71" s="35"/>
      <c r="K71" s="35"/>
      <c r="L71" s="35"/>
      <c r="M71" s="35"/>
      <c r="N71" s="35"/>
    </row>
    <row r="72" spans="9:14" x14ac:dyDescent="0.25">
      <c r="I72" s="35"/>
      <c r="J72" s="35"/>
      <c r="K72" s="35"/>
      <c r="L72" s="35"/>
      <c r="M72" s="35"/>
      <c r="N72" s="35"/>
    </row>
    <row r="73" spans="9:14" x14ac:dyDescent="0.25">
      <c r="I73" s="35"/>
      <c r="J73" s="35"/>
      <c r="K73" s="35"/>
      <c r="L73" s="35"/>
      <c r="M73" s="35"/>
      <c r="N73" s="35"/>
    </row>
    <row r="74" spans="9:14" x14ac:dyDescent="0.25">
      <c r="I74" s="35"/>
      <c r="J74" s="35"/>
      <c r="K74" s="35"/>
      <c r="L74" s="35"/>
      <c r="M74" s="35"/>
      <c r="N74" s="35"/>
    </row>
    <row r="75" spans="9:14" x14ac:dyDescent="0.25">
      <c r="I75" s="35"/>
      <c r="J75" s="35"/>
      <c r="K75" s="35"/>
      <c r="L75" s="35"/>
      <c r="M75" s="35"/>
      <c r="N75" s="35"/>
    </row>
    <row r="76" spans="9:14" x14ac:dyDescent="0.25">
      <c r="I76" s="35"/>
      <c r="J76" s="35"/>
      <c r="K76" s="35"/>
      <c r="L76" s="35"/>
      <c r="M76" s="35"/>
      <c r="N76" s="35"/>
    </row>
    <row r="77" spans="9:14" x14ac:dyDescent="0.25">
      <c r="I77" s="35"/>
      <c r="J77" s="35"/>
      <c r="K77" s="35"/>
      <c r="L77" s="35"/>
      <c r="M77" s="35"/>
      <c r="N77" s="35"/>
    </row>
    <row r="78" spans="9:14" x14ac:dyDescent="0.25">
      <c r="I78" s="35"/>
      <c r="J78" s="35"/>
      <c r="K78" s="35"/>
      <c r="L78" s="35"/>
      <c r="M78" s="35"/>
      <c r="N78" s="35"/>
    </row>
    <row r="79" spans="9:14" x14ac:dyDescent="0.25">
      <c r="I79" s="35"/>
      <c r="J79" s="35"/>
      <c r="K79" s="35"/>
      <c r="L79" s="35"/>
      <c r="M79" s="35"/>
      <c r="N79" s="35"/>
    </row>
    <row r="80" spans="9:14" x14ac:dyDescent="0.25">
      <c r="I80" s="35"/>
      <c r="J80" s="35"/>
      <c r="K80" s="35"/>
      <c r="L80" s="35"/>
      <c r="M80" s="35"/>
      <c r="N80" s="35"/>
    </row>
    <row r="81" spans="9:14" x14ac:dyDescent="0.25">
      <c r="I81" s="35"/>
      <c r="J81" s="35"/>
      <c r="K81" s="35"/>
      <c r="L81" s="35"/>
      <c r="M81" s="35"/>
      <c r="N81" s="35"/>
    </row>
    <row r="82" spans="9:14" x14ac:dyDescent="0.25">
      <c r="I82" s="35"/>
      <c r="J82" s="35"/>
      <c r="K82" s="35"/>
      <c r="L82" s="35"/>
      <c r="M82" s="35"/>
      <c r="N82" s="35"/>
    </row>
    <row r="83" spans="9:14" x14ac:dyDescent="0.25">
      <c r="I83" s="35"/>
      <c r="J83" s="35"/>
      <c r="K83" s="35"/>
      <c r="L83" s="35"/>
      <c r="M83" s="35"/>
      <c r="N83" s="35"/>
    </row>
    <row r="84" spans="9:14" x14ac:dyDescent="0.25">
      <c r="I84" s="35"/>
      <c r="J84" s="35"/>
      <c r="K84" s="35"/>
      <c r="L84" s="35"/>
      <c r="M84" s="35"/>
      <c r="N84" s="35"/>
    </row>
    <row r="85" spans="9:14" x14ac:dyDescent="0.25">
      <c r="I85" s="35"/>
      <c r="J85" s="35"/>
      <c r="K85" s="35"/>
      <c r="L85" s="35"/>
      <c r="M85" s="35"/>
      <c r="N85" s="35"/>
    </row>
    <row r="86" spans="9:14" x14ac:dyDescent="0.25">
      <c r="I86" s="35"/>
      <c r="J86" s="35"/>
      <c r="K86" s="35"/>
      <c r="L86" s="35"/>
      <c r="M86" s="35"/>
      <c r="N86" s="35"/>
    </row>
    <row r="87" spans="9:14" x14ac:dyDescent="0.25">
      <c r="I87" s="35"/>
      <c r="J87" s="35"/>
      <c r="K87" s="35"/>
      <c r="L87" s="35"/>
      <c r="M87" s="35"/>
      <c r="N87" s="35"/>
    </row>
    <row r="88" spans="9:14" x14ac:dyDescent="0.25">
      <c r="I88" s="35"/>
      <c r="J88" s="35"/>
      <c r="K88" s="35"/>
      <c r="L88" s="35"/>
      <c r="M88" s="35"/>
      <c r="N88" s="35"/>
    </row>
    <row r="89" spans="9:14" x14ac:dyDescent="0.25">
      <c r="I89" s="35"/>
      <c r="J89" s="35"/>
      <c r="K89" s="35"/>
      <c r="L89" s="35"/>
      <c r="M89" s="35"/>
      <c r="N89" s="35"/>
    </row>
    <row r="90" spans="9:14" x14ac:dyDescent="0.25">
      <c r="I90" s="35"/>
      <c r="J90" s="35"/>
      <c r="K90" s="35"/>
      <c r="L90" s="35"/>
      <c r="M90" s="35"/>
      <c r="N90" s="35"/>
    </row>
    <row r="91" spans="9:14" x14ac:dyDescent="0.25">
      <c r="I91" s="35"/>
      <c r="J91" s="35"/>
      <c r="K91" s="35"/>
      <c r="L91" s="35"/>
      <c r="M91" s="35"/>
      <c r="N91" s="35"/>
    </row>
    <row r="92" spans="9:14" x14ac:dyDescent="0.25">
      <c r="I92" s="35"/>
      <c r="J92" s="35"/>
      <c r="K92" s="35"/>
      <c r="L92" s="35"/>
      <c r="M92" s="35"/>
      <c r="N92" s="35"/>
    </row>
    <row r="93" spans="9:14" x14ac:dyDescent="0.25">
      <c r="I93" s="35"/>
      <c r="J93" s="35"/>
      <c r="K93" s="35"/>
      <c r="L93" s="35"/>
      <c r="M93" s="35"/>
      <c r="N93" s="35"/>
    </row>
    <row r="94" spans="9:14" x14ac:dyDescent="0.25">
      <c r="I94" s="35"/>
      <c r="J94" s="35"/>
      <c r="K94" s="35"/>
      <c r="L94" s="35"/>
      <c r="M94" s="35"/>
      <c r="N94" s="35"/>
    </row>
    <row r="95" spans="9:14" x14ac:dyDescent="0.25">
      <c r="I95" s="35"/>
      <c r="J95" s="35"/>
      <c r="K95" s="35"/>
      <c r="L95" s="35"/>
      <c r="M95" s="35"/>
      <c r="N95" s="35"/>
    </row>
    <row r="96" spans="9:14" x14ac:dyDescent="0.25">
      <c r="I96" s="35"/>
      <c r="J96" s="35"/>
      <c r="K96" s="35"/>
      <c r="L96" s="35"/>
      <c r="M96" s="35"/>
      <c r="N96" s="35"/>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7" r:id="rId3" name="Drop Down 1">
              <controlPr defaultSize="0" autoLine="0" autoPict="0">
                <anchor moveWithCells="1">
                  <from>
                    <xdr:col>1</xdr:col>
                    <xdr:colOff>533400</xdr:colOff>
                    <xdr:row>0</xdr:row>
                    <xdr:rowOff>38100</xdr:rowOff>
                  </from>
                  <to>
                    <xdr:col>3</xdr:col>
                    <xdr:colOff>352425</xdr:colOff>
                    <xdr:row>1</xdr:row>
                    <xdr:rowOff>0</xdr:rowOff>
                  </to>
                </anchor>
              </controlPr>
            </control>
          </mc:Choice>
        </mc:AlternateContent>
      </controls>
    </mc:Choice>
  </mc:AlternateConten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8" tint="-0.249977111117893"/>
  </sheetPr>
  <dimension ref="B1:M47"/>
  <sheetViews>
    <sheetView showGridLines="0" workbookViewId="0">
      <pane ySplit="3" topLeftCell="A4" activePane="bottomLeft" state="frozen"/>
      <selection pane="bottomLeft" activeCell="Q7" sqref="Q7"/>
    </sheetView>
  </sheetViews>
  <sheetFormatPr defaultRowHeight="15" x14ac:dyDescent="0.25"/>
  <cols>
    <col min="9" max="9" width="14.28515625" bestFit="1" customWidth="1"/>
    <col min="10" max="10" width="12.42578125" bestFit="1" customWidth="1"/>
    <col min="11" max="13" width="14.140625" bestFit="1" customWidth="1"/>
  </cols>
  <sheetData>
    <row r="1" spans="2:13" x14ac:dyDescent="0.25">
      <c r="B1" s="21" t="s">
        <v>41</v>
      </c>
      <c r="I1" s="21" t="s">
        <v>3</v>
      </c>
      <c r="L1" s="83" t="s">
        <v>42</v>
      </c>
      <c r="M1" s="119" t="s">
        <v>266</v>
      </c>
    </row>
    <row r="2" spans="2:13" ht="21" x14ac:dyDescent="0.35">
      <c r="D2" s="78" t="s">
        <v>188</v>
      </c>
      <c r="E2" s="18"/>
      <c r="F2" s="18"/>
      <c r="G2" s="78"/>
      <c r="H2" s="78"/>
      <c r="I2" s="78"/>
      <c r="J2" s="78"/>
      <c r="K2" s="18"/>
      <c r="L2" s="18"/>
      <c r="M2" s="18"/>
    </row>
    <row r="3" spans="2:13" ht="15.75" thickBot="1" x14ac:dyDescent="0.3">
      <c r="H3" s="46">
        <v>2024</v>
      </c>
      <c r="I3" s="88">
        <v>1</v>
      </c>
      <c r="J3" s="89">
        <v>2</v>
      </c>
      <c r="K3" s="90">
        <v>3</v>
      </c>
      <c r="L3" s="91">
        <v>4</v>
      </c>
      <c r="M3" s="92">
        <v>5</v>
      </c>
    </row>
    <row r="4" spans="2:13" ht="15.75" thickTop="1" x14ac:dyDescent="0.25">
      <c r="B4" s="24" t="s">
        <v>189</v>
      </c>
    </row>
    <row r="5" spans="2:13" x14ac:dyDescent="0.25">
      <c r="B5" s="21" t="s">
        <v>190</v>
      </c>
    </row>
    <row r="6" spans="2:13" x14ac:dyDescent="0.25">
      <c r="D6" s="24"/>
      <c r="E6" s="24" t="s">
        <v>191</v>
      </c>
      <c r="I6" s="70">
        <f>'Income Statement'!I18</f>
        <v>25104320</v>
      </c>
      <c r="J6" s="70">
        <f>'Income Statement'!J18</f>
        <v>28736362.752000004</v>
      </c>
      <c r="K6" s="70">
        <f>'Income Statement'!K18</f>
        <v>34977725.537280008</v>
      </c>
      <c r="L6" s="70">
        <f>'Income Statement'!L18</f>
        <v>41922879.112499222</v>
      </c>
      <c r="M6" s="70">
        <f>'Income Statement'!M18</f>
        <v>50034154.188249111</v>
      </c>
    </row>
    <row r="7" spans="2:13" x14ac:dyDescent="0.25">
      <c r="D7" s="24" t="s">
        <v>192</v>
      </c>
      <c r="F7" t="s">
        <v>193</v>
      </c>
      <c r="I7" s="70">
        <f>-'Income Statement'!I14</f>
        <v>2104800</v>
      </c>
      <c r="J7" s="70">
        <f>-'Income Statement'!J14</f>
        <v>2104800</v>
      </c>
      <c r="K7" s="70">
        <f>-'Income Statement'!K14</f>
        <v>2104800</v>
      </c>
      <c r="L7" s="70">
        <f>-'Income Statement'!L14</f>
        <v>2274800</v>
      </c>
      <c r="M7" s="70">
        <f>-'Income Statement'!M14</f>
        <v>2274800</v>
      </c>
    </row>
    <row r="8" spans="2:13" x14ac:dyDescent="0.25">
      <c r="D8" s="24" t="s">
        <v>194</v>
      </c>
      <c r="I8" s="36">
        <f>Cashflow!J10+Cashflow!J11</f>
        <v>-5691840</v>
      </c>
      <c r="J8" s="36">
        <f>Cashflow!K10+Cashflow!K11</f>
        <v>-823040.06399999931</v>
      </c>
      <c r="K8" s="36">
        <f>Cashflow!L10+Cashflow!L11</f>
        <v>-912083.20896000112</v>
      </c>
      <c r="L8" s="36">
        <f>Cashflow!M10+Cashflow!M11</f>
        <v>-1039774.8582144014</v>
      </c>
      <c r="M8" s="36">
        <f>Cashflow!N10+Cashflow!N11</f>
        <v>-1185343.3383644149</v>
      </c>
    </row>
    <row r="9" spans="2:13" x14ac:dyDescent="0.25">
      <c r="D9" s="24" t="s">
        <v>195</v>
      </c>
      <c r="I9" s="36">
        <f>Workings!K53</f>
        <v>10000000</v>
      </c>
      <c r="J9" s="36">
        <f>Workings!L53</f>
        <v>0</v>
      </c>
      <c r="K9" s="36">
        <f>Workings!M53</f>
        <v>0</v>
      </c>
      <c r="L9" s="36">
        <f>Workings!N53</f>
        <v>850000</v>
      </c>
      <c r="M9" s="36">
        <f>Workings!O53</f>
        <v>0</v>
      </c>
    </row>
    <row r="10" spans="2:13" ht="15.75" thickBot="1" x14ac:dyDescent="0.3"/>
    <row r="11" spans="2:13" ht="15.75" thickBot="1" x14ac:dyDescent="0.3">
      <c r="C11" s="24" t="s">
        <v>198</v>
      </c>
      <c r="I11" s="85">
        <f>SUM(I6:I10)</f>
        <v>31517280</v>
      </c>
      <c r="J11" s="85">
        <f>SUM(J6:J10)</f>
        <v>30018122.688000005</v>
      </c>
      <c r="K11" s="85">
        <f>SUM(K6:K10)</f>
        <v>36170442.328320004</v>
      </c>
      <c r="L11" s="85">
        <f>SUM(L6:L10)</f>
        <v>44007904.254284821</v>
      </c>
      <c r="M11" s="85">
        <f>SUM(M6:M10)</f>
        <v>51123610.849884696</v>
      </c>
    </row>
    <row r="12" spans="2:13" x14ac:dyDescent="0.25">
      <c r="C12" s="24" t="s">
        <v>215</v>
      </c>
      <c r="E12" s="95" t="s">
        <v>217</v>
      </c>
      <c r="I12" s="87"/>
      <c r="J12" s="87"/>
      <c r="K12" s="87"/>
      <c r="L12" s="87"/>
      <c r="M12" s="87">
        <f>(M11*(1+I47))/I44-I47</f>
        <v>283040341.30298692</v>
      </c>
    </row>
    <row r="13" spans="2:13" ht="15.75" thickBot="1" x14ac:dyDescent="0.3">
      <c r="C13" s="24"/>
      <c r="E13" s="24" t="s">
        <v>218</v>
      </c>
      <c r="I13" s="87"/>
      <c r="J13" s="87"/>
      <c r="K13" s="87"/>
      <c r="L13" s="87"/>
      <c r="M13" s="87"/>
    </row>
    <row r="14" spans="2:13" ht="16.5" thickTop="1" thickBot="1" x14ac:dyDescent="0.3">
      <c r="C14" s="24"/>
      <c r="E14" s="24" t="s">
        <v>221</v>
      </c>
      <c r="I14" s="93">
        <f>I11+I12</f>
        <v>31517280</v>
      </c>
      <c r="J14" s="93">
        <f>J11+J12</f>
        <v>30018122.688000005</v>
      </c>
      <c r="K14" s="93">
        <f>K11+K12</f>
        <v>36170442.328320004</v>
      </c>
      <c r="L14" s="93">
        <f>L11+L12</f>
        <v>44007904.254284821</v>
      </c>
      <c r="M14" s="93">
        <f>M11+M12</f>
        <v>334163952.15287161</v>
      </c>
    </row>
    <row r="15" spans="2:13" ht="15.75" thickTop="1" x14ac:dyDescent="0.25">
      <c r="C15" s="24"/>
      <c r="I15" s="87"/>
      <c r="J15" s="87"/>
      <c r="K15" s="87"/>
      <c r="L15" s="87"/>
      <c r="M15" s="87"/>
    </row>
    <row r="16" spans="2:13" x14ac:dyDescent="0.25">
      <c r="C16" s="24"/>
      <c r="I16" s="87"/>
      <c r="J16" s="87"/>
      <c r="K16" s="87"/>
      <c r="L16" s="87"/>
      <c r="M16" s="87"/>
    </row>
    <row r="17" spans="2:13" x14ac:dyDescent="0.25">
      <c r="C17" s="24" t="s">
        <v>219</v>
      </c>
      <c r="E17" s="24" t="s">
        <v>220</v>
      </c>
      <c r="I17" s="97">
        <f>(1+$I$44)^-I3</f>
        <v>0.84206344061970051</v>
      </c>
      <c r="J17" s="97">
        <f>(1+$I$44)^-J3</f>
        <v>0.70907083802828796</v>
      </c>
      <c r="K17" s="97">
        <f>(1+$I$44)^-K3</f>
        <v>0.59708262951319457</v>
      </c>
      <c r="L17" s="97">
        <f>(1+$I$44)^-L3</f>
        <v>0.50278145334213864</v>
      </c>
      <c r="M17" s="97">
        <f>(1+$I$44)^-M3</f>
        <v>0.42337388048105473</v>
      </c>
    </row>
    <row r="18" spans="2:13" x14ac:dyDescent="0.25">
      <c r="C18" s="24"/>
      <c r="I18" s="96"/>
      <c r="J18" s="96"/>
      <c r="K18" s="96"/>
      <c r="L18" s="96"/>
      <c r="M18" s="96"/>
    </row>
    <row r="19" spans="2:13" x14ac:dyDescent="0.25">
      <c r="C19" s="24"/>
      <c r="E19" s="24" t="s">
        <v>223</v>
      </c>
      <c r="I19" s="96">
        <f>I14*I17</f>
        <v>26539549.235774476</v>
      </c>
      <c r="J19" s="96">
        <f>J14*J17</f>
        <v>21284975.410416126</v>
      </c>
      <c r="K19" s="96">
        <f>K14*K17</f>
        <v>21596742.816048663</v>
      </c>
      <c r="L19" s="96">
        <f>L14*L17</f>
        <v>22126358.05951101</v>
      </c>
      <c r="M19" s="96">
        <f>M14*M17</f>
        <v>141476289.13984674</v>
      </c>
    </row>
    <row r="20" spans="2:13" x14ac:dyDescent="0.25">
      <c r="C20" s="24"/>
      <c r="I20" s="87"/>
      <c r="J20" s="87"/>
      <c r="K20" s="87"/>
      <c r="L20" s="87"/>
      <c r="M20" s="87"/>
    </row>
    <row r="21" spans="2:13" ht="15.75" thickBot="1" x14ac:dyDescent="0.3">
      <c r="C21" s="24"/>
      <c r="E21" s="24" t="s">
        <v>222</v>
      </c>
      <c r="I21" s="94">
        <f>SUM(I19:M19)</f>
        <v>233023914.66159701</v>
      </c>
      <c r="J21" s="87"/>
      <c r="K21" s="87"/>
      <c r="L21" s="87"/>
      <c r="M21" s="87"/>
    </row>
    <row r="23" spans="2:13" x14ac:dyDescent="0.25">
      <c r="B23" s="24" t="s">
        <v>196</v>
      </c>
    </row>
    <row r="24" spans="2:13" x14ac:dyDescent="0.25">
      <c r="B24" s="21" t="s">
        <v>190</v>
      </c>
    </row>
    <row r="25" spans="2:13" x14ac:dyDescent="0.25">
      <c r="E25" t="s">
        <v>191</v>
      </c>
      <c r="I25" s="36">
        <f>'Income Statement'!I18</f>
        <v>25104320</v>
      </c>
      <c r="J25" s="36">
        <f>'Income Statement'!J18</f>
        <v>28736362.752000004</v>
      </c>
      <c r="K25" s="36">
        <f>'Income Statement'!K18</f>
        <v>34977725.537280008</v>
      </c>
      <c r="L25" s="36">
        <f>'Income Statement'!L18</f>
        <v>41922879.112499222</v>
      </c>
      <c r="M25" s="36">
        <f>'Income Statement'!M18</f>
        <v>50034154.188249111</v>
      </c>
    </row>
    <row r="26" spans="2:13" x14ac:dyDescent="0.25">
      <c r="D26" t="s">
        <v>192</v>
      </c>
      <c r="F26" t="s">
        <v>193</v>
      </c>
      <c r="I26" s="70">
        <f>-'Income Statement'!I14</f>
        <v>2104800</v>
      </c>
      <c r="J26" s="70">
        <f>-'Income Statement'!J14</f>
        <v>2104800</v>
      </c>
      <c r="K26" s="70">
        <f>-'Income Statement'!K14</f>
        <v>2104800</v>
      </c>
      <c r="L26" s="70">
        <f>-'Income Statement'!L14</f>
        <v>2274800</v>
      </c>
      <c r="M26" s="70">
        <f>-'Income Statement'!M14</f>
        <v>2274800</v>
      </c>
    </row>
    <row r="27" spans="2:13" x14ac:dyDescent="0.25">
      <c r="D27" t="s">
        <v>194</v>
      </c>
      <c r="I27" s="36">
        <f>Cashflow!J10+Cashflow!J11</f>
        <v>-5691840</v>
      </c>
      <c r="J27" s="36">
        <f>Cashflow!K10+Cashflow!K11</f>
        <v>-823040.06399999931</v>
      </c>
      <c r="K27" s="36">
        <f>Cashflow!L10+Cashflow!L11</f>
        <v>-912083.20896000112</v>
      </c>
      <c r="L27" s="36">
        <f>Cashflow!M10+Cashflow!M11</f>
        <v>-1039774.8582144014</v>
      </c>
      <c r="M27" s="36">
        <f>Cashflow!N10+Cashflow!N11</f>
        <v>-1185343.3383644149</v>
      </c>
    </row>
    <row r="28" spans="2:13" x14ac:dyDescent="0.25">
      <c r="D28" t="s">
        <v>195</v>
      </c>
      <c r="I28" s="36">
        <f>-Workings!K53</f>
        <v>-10000000</v>
      </c>
      <c r="J28" s="36">
        <f>-Workings!L53</f>
        <v>0</v>
      </c>
      <c r="K28" s="36">
        <f>-Workings!M53</f>
        <v>0</v>
      </c>
      <c r="L28" s="36">
        <f>-Workings!N53</f>
        <v>-850000</v>
      </c>
      <c r="M28" s="36">
        <f>-Workings!O53</f>
        <v>0</v>
      </c>
    </row>
    <row r="29" spans="2:13" ht="15.75" thickBot="1" x14ac:dyDescent="0.3">
      <c r="I29" s="35"/>
      <c r="J29" s="35"/>
      <c r="K29" s="35"/>
      <c r="L29" s="35"/>
      <c r="M29" s="35"/>
    </row>
    <row r="30" spans="2:13" ht="15.75" thickBot="1" x14ac:dyDescent="0.3">
      <c r="C30" s="24" t="s">
        <v>197</v>
      </c>
      <c r="I30" s="85">
        <f>SUM(I25:I29)</f>
        <v>11517280</v>
      </c>
      <c r="J30" s="85">
        <f>SUM(J25:J29)</f>
        <v>30018122.688000005</v>
      </c>
      <c r="K30" s="85">
        <f>SUM(K25:K29)</f>
        <v>36170442.328320004</v>
      </c>
      <c r="L30" s="85">
        <f>SUM(L25:L29)</f>
        <v>42307904.254284821</v>
      </c>
      <c r="M30" s="85">
        <f>SUM(M25:M29)</f>
        <v>51123610.849884696</v>
      </c>
    </row>
    <row r="31" spans="2:13" x14ac:dyDescent="0.25">
      <c r="C31" s="24"/>
      <c r="I31" s="87"/>
      <c r="J31" s="87"/>
      <c r="K31" s="87"/>
      <c r="L31" s="87"/>
      <c r="M31" s="87"/>
    </row>
    <row r="32" spans="2:13" x14ac:dyDescent="0.25">
      <c r="C32" s="24" t="s">
        <v>215</v>
      </c>
      <c r="E32" s="95" t="s">
        <v>217</v>
      </c>
      <c r="I32" s="87"/>
      <c r="J32" s="87"/>
      <c r="K32" s="87"/>
      <c r="L32" s="87"/>
      <c r="M32" s="87">
        <f>(M30*(1+I47))/(I46-I47)</f>
        <v>355907219.10285366</v>
      </c>
    </row>
    <row r="33" spans="3:13" ht="15.75" thickBot="1" x14ac:dyDescent="0.3">
      <c r="C33" s="24"/>
      <c r="E33" s="24" t="s">
        <v>218</v>
      </c>
      <c r="I33" s="87"/>
      <c r="J33" s="87"/>
      <c r="K33" s="87"/>
      <c r="L33" s="87"/>
      <c r="M33" s="87"/>
    </row>
    <row r="34" spans="3:13" ht="16.5" thickTop="1" thickBot="1" x14ac:dyDescent="0.3">
      <c r="C34" s="24"/>
      <c r="E34" s="24" t="s">
        <v>225</v>
      </c>
      <c r="I34" s="93">
        <f>I30+I31</f>
        <v>11517280</v>
      </c>
      <c r="J34" s="93">
        <f>J30+J31</f>
        <v>30018122.688000005</v>
      </c>
      <c r="K34" s="93">
        <f>K30+K31</f>
        <v>36170442.328320004</v>
      </c>
      <c r="L34" s="93">
        <f>L30+L31</f>
        <v>42307904.254284821</v>
      </c>
      <c r="M34" s="93">
        <f>M30+M31</f>
        <v>51123610.849884696</v>
      </c>
    </row>
    <row r="35" spans="3:13" ht="15.75" thickTop="1" x14ac:dyDescent="0.25">
      <c r="C35" s="24"/>
      <c r="I35" s="87"/>
      <c r="J35" s="87"/>
      <c r="K35" s="87"/>
      <c r="L35" s="87"/>
      <c r="M35" s="87"/>
    </row>
    <row r="36" spans="3:13" x14ac:dyDescent="0.25">
      <c r="C36" s="24"/>
      <c r="I36" s="87"/>
      <c r="J36" s="87"/>
      <c r="K36" s="87"/>
      <c r="L36" s="87"/>
      <c r="M36" s="87"/>
    </row>
    <row r="37" spans="3:13" x14ac:dyDescent="0.25">
      <c r="C37" s="24" t="s">
        <v>219</v>
      </c>
      <c r="E37" s="24" t="s">
        <v>224</v>
      </c>
      <c r="I37" s="97">
        <f>(1+$I$46)^-I3</f>
        <v>0.84206344061970051</v>
      </c>
      <c r="J37" s="97">
        <f>(1+$I$46)^-J3</f>
        <v>0.70907083802828796</v>
      </c>
      <c r="K37" s="97">
        <f>(1+$I$46)^-K3</f>
        <v>0.59708262951319457</v>
      </c>
      <c r="L37" s="97">
        <f>(1+$I$46)^-L3</f>
        <v>0.50278145334213864</v>
      </c>
      <c r="M37" s="97">
        <f>(1+$I$46)^-M3</f>
        <v>0.42337388048105473</v>
      </c>
    </row>
    <row r="38" spans="3:13" x14ac:dyDescent="0.25">
      <c r="C38" s="24"/>
      <c r="I38" s="96"/>
      <c r="J38" s="96"/>
      <c r="K38" s="96"/>
      <c r="L38" s="96"/>
      <c r="M38" s="96"/>
    </row>
    <row r="39" spans="3:13" x14ac:dyDescent="0.25">
      <c r="C39" s="24"/>
      <c r="E39" s="24" t="s">
        <v>223</v>
      </c>
      <c r="I39" s="96">
        <f>I34*I37</f>
        <v>9698280.4233804643</v>
      </c>
      <c r="J39" s="96">
        <f>J34*J37</f>
        <v>21284975.410416126</v>
      </c>
      <c r="K39" s="96">
        <f>K34*K37</f>
        <v>21596742.816048663</v>
      </c>
      <c r="L39" s="96">
        <f>L34*L37</f>
        <v>21271629.588829372</v>
      </c>
      <c r="M39" s="96">
        <f>M34*M37</f>
        <v>21644401.509719037</v>
      </c>
    </row>
    <row r="40" spans="3:13" x14ac:dyDescent="0.25">
      <c r="C40" s="24"/>
      <c r="I40" s="87"/>
      <c r="J40" s="87"/>
      <c r="K40" s="87"/>
      <c r="L40" s="87"/>
      <c r="M40" s="87"/>
    </row>
    <row r="41" spans="3:13" ht="15.75" thickBot="1" x14ac:dyDescent="0.3">
      <c r="C41" s="24"/>
      <c r="E41" s="24" t="s">
        <v>7</v>
      </c>
      <c r="I41" s="94">
        <f>SUM(I39:M39)</f>
        <v>95496029.748393655</v>
      </c>
      <c r="J41" s="87"/>
      <c r="K41" s="87"/>
      <c r="L41" s="87"/>
      <c r="M41" s="87"/>
    </row>
    <row r="44" spans="3:13" x14ac:dyDescent="0.25">
      <c r="C44" s="24" t="s">
        <v>199</v>
      </c>
      <c r="I44" s="86">
        <f>Workings!K104</f>
        <v>0.18755897924278608</v>
      </c>
    </row>
    <row r="45" spans="3:13" x14ac:dyDescent="0.25">
      <c r="I45" s="6"/>
    </row>
    <row r="46" spans="3:13" x14ac:dyDescent="0.25">
      <c r="C46" s="24" t="s">
        <v>148</v>
      </c>
      <c r="I46" s="86">
        <f>Workings!K106</f>
        <v>0.18755897924278608</v>
      </c>
    </row>
    <row r="47" spans="3:13" x14ac:dyDescent="0.25">
      <c r="C47" s="24" t="s">
        <v>216</v>
      </c>
      <c r="I47" s="86">
        <f>'Input Data'!E15</f>
        <v>3.8399999999999997E-2</v>
      </c>
    </row>
  </sheetData>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41" r:id="rId4" name="Drop Down 1">
              <controlPr defaultSize="0" autoLine="0" autoPict="0">
                <anchor moveWithCells="1">
                  <from>
                    <xdr:col>1</xdr:col>
                    <xdr:colOff>533400</xdr:colOff>
                    <xdr:row>0</xdr:row>
                    <xdr:rowOff>38100</xdr:rowOff>
                  </from>
                  <to>
                    <xdr:col>3</xdr:col>
                    <xdr:colOff>9525</xdr:colOff>
                    <xdr:row>1</xdr:row>
                    <xdr:rowOff>0</xdr:rowOff>
                  </to>
                </anchor>
              </controlPr>
            </control>
          </mc:Choice>
        </mc:AlternateContent>
      </controls>
    </mc:Choice>
  </mc:AlternateConten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8" tint="-0.249977111117893"/>
  </sheetPr>
  <dimension ref="B1:N28"/>
  <sheetViews>
    <sheetView showGridLines="0" tabSelected="1" workbookViewId="0">
      <pane ySplit="3" topLeftCell="A4" activePane="bottomLeft" state="frozen"/>
      <selection pane="bottomLeft" activeCell="N1" sqref="N1"/>
    </sheetView>
  </sheetViews>
  <sheetFormatPr defaultRowHeight="15" x14ac:dyDescent="0.25"/>
  <cols>
    <col min="2" max="2" width="12.42578125" customWidth="1"/>
    <col min="3" max="3" width="4.42578125" customWidth="1"/>
    <col min="10" max="14" width="14.28515625" bestFit="1" customWidth="1"/>
  </cols>
  <sheetData>
    <row r="1" spans="2:14" x14ac:dyDescent="0.25">
      <c r="B1" s="21" t="s">
        <v>41</v>
      </c>
      <c r="J1" s="21" t="s">
        <v>3</v>
      </c>
      <c r="M1" s="22" t="s">
        <v>42</v>
      </c>
      <c r="N1" s="119" t="s">
        <v>266</v>
      </c>
    </row>
    <row r="2" spans="2:14" ht="21" x14ac:dyDescent="0.35">
      <c r="D2" s="19" t="s">
        <v>226</v>
      </c>
      <c r="E2" s="18"/>
      <c r="F2" s="18"/>
      <c r="G2" s="18"/>
      <c r="H2" s="18"/>
      <c r="I2" s="18"/>
      <c r="J2" s="18"/>
      <c r="K2" s="18"/>
      <c r="L2" s="18"/>
      <c r="M2" s="18"/>
      <c r="N2" s="18"/>
    </row>
    <row r="3" spans="2:14" ht="15.75" thickBot="1" x14ac:dyDescent="0.3">
      <c r="I3" s="46">
        <v>2024</v>
      </c>
      <c r="J3" s="88">
        <v>1</v>
      </c>
      <c r="K3" s="89">
        <v>2</v>
      </c>
      <c r="L3" s="90">
        <v>3</v>
      </c>
      <c r="M3" s="91">
        <v>4</v>
      </c>
      <c r="N3" s="92">
        <v>5</v>
      </c>
    </row>
    <row r="4" spans="2:14" ht="15.75" thickTop="1" x14ac:dyDescent="0.25">
      <c r="C4" s="48" t="s">
        <v>227</v>
      </c>
      <c r="D4" s="48"/>
    </row>
    <row r="5" spans="2:14" x14ac:dyDescent="0.25">
      <c r="C5" s="48"/>
      <c r="D5" s="48" t="s">
        <v>228</v>
      </c>
      <c r="J5" s="38">
        <f>'Income Statement'!I8/'Income Statement'!I4</f>
        <v>0.7</v>
      </c>
      <c r="K5" s="38">
        <f>'Income Statement'!J8/'Income Statement'!J4</f>
        <v>0.70000000000000007</v>
      </c>
      <c r="L5" s="38">
        <f>'Income Statement'!K8/'Income Statement'!K4</f>
        <v>0.7</v>
      </c>
      <c r="M5" s="38">
        <f>'Income Statement'!L8/'Income Statement'!L4</f>
        <v>0.70000000000000007</v>
      </c>
      <c r="N5" s="38">
        <f>'Income Statement'!M8/'Income Statement'!M4</f>
        <v>0.7</v>
      </c>
    </row>
    <row r="6" spans="2:14" x14ac:dyDescent="0.25">
      <c r="C6" s="48"/>
      <c r="D6" s="48" t="s">
        <v>229</v>
      </c>
      <c r="J6" s="38">
        <f>'Income Statement'!I12/'Income Statement'!I4</f>
        <v>0.48202097505668934</v>
      </c>
      <c r="K6" s="38">
        <f>'Income Statement'!J12/'Income Statement'!J4</f>
        <v>0.47734067451897771</v>
      </c>
      <c r="L6" s="38">
        <f>'Income Statement'!K12/'Income Statement'!K4</f>
        <v>0.50345673203419083</v>
      </c>
      <c r="M6" s="38">
        <f>'Income Statement'!L12/'Income Statement'!L4</f>
        <v>0.526365554415957</v>
      </c>
      <c r="N6" s="38">
        <f>'Income Statement'!M12/'Income Statement'!M4</f>
        <v>0.54646101264557634</v>
      </c>
    </row>
    <row r="7" spans="2:14" x14ac:dyDescent="0.25">
      <c r="C7" s="48"/>
      <c r="D7" s="48" t="s">
        <v>230</v>
      </c>
      <c r="J7" s="38">
        <f>'Income Statement'!I18/'Income Statement'!I4</f>
        <v>0.44473356009070297</v>
      </c>
      <c r="K7" s="38">
        <f>'Income Statement'!J18/'Income Statement'!J4</f>
        <v>0.44476386605664464</v>
      </c>
      <c r="L7" s="38">
        <f>'Income Statement'!K18/'Income Statement'!K4</f>
        <v>0.47488058426021451</v>
      </c>
      <c r="M7" s="38">
        <f>'Income Statement'!L18/'Income Statement'!L4</f>
        <v>0.49927416891271242</v>
      </c>
      <c r="N7" s="38">
        <f>'Income Statement'!M18/'Income Statement'!M4</f>
        <v>0.52269663939711608</v>
      </c>
    </row>
    <row r="8" spans="2:14" x14ac:dyDescent="0.25">
      <c r="C8" s="48"/>
      <c r="D8" s="48"/>
    </row>
    <row r="9" spans="2:14" x14ac:dyDescent="0.25">
      <c r="C9" s="48"/>
      <c r="D9" s="48" t="s">
        <v>231</v>
      </c>
      <c r="J9" s="38">
        <f>'Income Statement'!I18/'Balance Sheet'!K21</f>
        <v>0.69032519445855012</v>
      </c>
      <c r="K9" s="38">
        <f>'Income Statement'!J18/'Balance Sheet'!L21</f>
        <v>0.49615423259165897</v>
      </c>
      <c r="L9" s="38">
        <f>'Income Statement'!K18/'Balance Sheet'!M21</f>
        <v>0.41565183893574575</v>
      </c>
      <c r="M9" s="38">
        <f>'Income Statement'!L18/'Balance Sheet'!N21</f>
        <v>0.36267455773095042</v>
      </c>
      <c r="N9" s="38">
        <f>'Income Statement'!M18/'Balance Sheet'!O21</f>
        <v>0.3267658780593341</v>
      </c>
    </row>
    <row r="10" spans="2:14" x14ac:dyDescent="0.25">
      <c r="C10" s="48"/>
      <c r="D10" s="48" t="s">
        <v>232</v>
      </c>
      <c r="J10" s="38">
        <f>'Income Statement'!I18/'Balance Sheet'!K16</f>
        <v>0.58549327366113035</v>
      </c>
      <c r="K10" s="38">
        <f>'Income Statement'!J18/'Balance Sheet'!L16</f>
        <v>0.43958544797263122</v>
      </c>
      <c r="L10" s="38">
        <f>'Income Statement'!K18/'Balance Sheet'!M16</f>
        <v>0.37528608783585615</v>
      </c>
      <c r="M10" s="38">
        <f>'Income Statement'!L18/'Balance Sheet'!N16</f>
        <v>0.33160474468811529</v>
      </c>
      <c r="N10" s="38">
        <f>'Income Statement'!M18/'Balance Sheet'!O16</f>
        <v>0.30136216897127527</v>
      </c>
    </row>
    <row r="11" spans="2:14" x14ac:dyDescent="0.25">
      <c r="C11" s="48"/>
      <c r="D11" s="48"/>
    </row>
    <row r="12" spans="2:14" x14ac:dyDescent="0.25">
      <c r="C12" s="48" t="s">
        <v>233</v>
      </c>
      <c r="D12" s="48"/>
    </row>
    <row r="13" spans="2:14" x14ac:dyDescent="0.25">
      <c r="C13" s="48"/>
      <c r="D13" s="48" t="s">
        <v>37</v>
      </c>
      <c r="J13" s="108">
        <f>'Balance Sheet'!K14/'Balance Sheet'!K28</f>
        <v>5.3725248082302297</v>
      </c>
      <c r="K13" s="108">
        <f>'Balance Sheet'!L14/'Balance Sheet'!L28</f>
        <v>7.9939223089139793</v>
      </c>
      <c r="L13" s="108">
        <f>'Balance Sheet'!M14/'Balance Sheet'!M28</f>
        <v>9.8899524587535161</v>
      </c>
      <c r="M13" s="108">
        <f>'Balance Sheet'!N14/'Balance Sheet'!N28</f>
        <v>11.464149349981412</v>
      </c>
      <c r="N13" s="108">
        <f>'Balance Sheet'!O14/'Balance Sheet'!O28</f>
        <v>12.864004664413741</v>
      </c>
    </row>
    <row r="14" spans="2:14" x14ac:dyDescent="0.25">
      <c r="C14" s="48"/>
      <c r="D14" s="48" t="s">
        <v>240</v>
      </c>
      <c r="J14" s="37">
        <f>('Balance Sheet'!K14-'Balance Sheet'!K12)/'Balance Sheet'!K28</f>
        <v>4.4622521736637539</v>
      </c>
      <c r="K14" s="37">
        <f>('Balance Sheet'!L14-'Balance Sheet'!L12)/'Balance Sheet'!L28</f>
        <v>7.0837094594928391</v>
      </c>
      <c r="L14" s="37">
        <f>('Balance Sheet'!M14-'Balance Sheet'!M12)/'Balance Sheet'!M28</f>
        <v>9.0355076435134123</v>
      </c>
      <c r="M14" s="37">
        <f>('Balance Sheet'!N14-'Balance Sheet'!N12)/'Balance Sheet'!N28</f>
        <v>10.650102523220047</v>
      </c>
      <c r="N14" s="37">
        <f>('Balance Sheet'!O14-'Balance Sheet'!O12)/'Balance Sheet'!O28</f>
        <v>12.085308755222</v>
      </c>
    </row>
    <row r="15" spans="2:14" x14ac:dyDescent="0.25">
      <c r="C15" s="48"/>
      <c r="D15" s="48" t="s">
        <v>39</v>
      </c>
      <c r="J15" s="37">
        <f>'Balance Sheet'!K13/'Balance Sheet'!K28</f>
        <v>4.4622521736637548</v>
      </c>
      <c r="K15" s="37">
        <f>'Balance Sheet'!L13/'Balance Sheet'!L28</f>
        <v>7.0837094594928391</v>
      </c>
      <c r="L15" s="37">
        <f>'Balance Sheet'!M13/'Balance Sheet'!M28</f>
        <v>9.0355076435134123</v>
      </c>
      <c r="M15" s="37">
        <f>'Balance Sheet'!N13/'Balance Sheet'!N28</f>
        <v>10.650102523220047</v>
      </c>
      <c r="N15" s="37">
        <f>'Balance Sheet'!O13/'Balance Sheet'!O28</f>
        <v>12.085308755222</v>
      </c>
    </row>
    <row r="16" spans="2:14" x14ac:dyDescent="0.25">
      <c r="C16" s="48"/>
      <c r="D16" s="48"/>
    </row>
    <row r="17" spans="3:14" x14ac:dyDescent="0.25">
      <c r="C17" s="48" t="s">
        <v>234</v>
      </c>
      <c r="D17" s="48"/>
    </row>
    <row r="18" spans="3:14" x14ac:dyDescent="0.25">
      <c r="C18" s="48"/>
      <c r="D18" s="48" t="s">
        <v>36</v>
      </c>
      <c r="J18" s="38">
        <f>'Balance Sheet'!K21/'Balance Sheet'!K16</f>
        <v>0.84814125047305622</v>
      </c>
      <c r="K18" s="38">
        <f>'Balance Sheet'!L21/'Balance Sheet'!L16</f>
        <v>0.88598548414362799</v>
      </c>
      <c r="L18" s="38">
        <f>'Balance Sheet'!M21/'Balance Sheet'!M16</f>
        <v>0.90288566699658068</v>
      </c>
      <c r="M18" s="38">
        <f>'Balance Sheet'!N21/'Balance Sheet'!N16</f>
        <v>0.91433142363991182</v>
      </c>
      <c r="N18" s="38">
        <f>'Balance Sheet'!O21/'Balance Sheet'!O16</f>
        <v>0.92225715475883929</v>
      </c>
    </row>
    <row r="19" spans="3:14" x14ac:dyDescent="0.25">
      <c r="C19" s="48"/>
      <c r="D19" s="48"/>
    </row>
    <row r="20" spans="3:14" x14ac:dyDescent="0.25">
      <c r="C20" s="48" t="s">
        <v>235</v>
      </c>
      <c r="D20" s="48"/>
    </row>
    <row r="22" spans="3:14" x14ac:dyDescent="0.25">
      <c r="C22" s="48"/>
      <c r="D22" s="48" t="s">
        <v>236</v>
      </c>
      <c r="J22" s="37">
        <f>-'Income Statement'!I6/(('Balance Sheet'!K12+'Balance Sheet'!J12)/2)</f>
        <v>5.7142857142857144</v>
      </c>
      <c r="K22" s="37">
        <f>-'Income Statement'!J6/(('Balance Sheet'!L12+'Balance Sheet'!K12)/2)</f>
        <v>3.049786173911885</v>
      </c>
      <c r="L22" s="37">
        <f>-'Income Statement'!K6/(('Balance Sheet'!M12+'Balance Sheet'!L12)/2)</f>
        <v>3.044058744993325</v>
      </c>
      <c r="M22" s="37">
        <f>-'Income Statement'!L6/(('Balance Sheet'!N12+'Balance Sheet'!M12)/2)</f>
        <v>3.0440587449933245</v>
      </c>
      <c r="N22" s="37">
        <f>-'Income Statement'!M6/(('Balance Sheet'!O12+'Balance Sheet'!N12)/2)</f>
        <v>3.044058744993325</v>
      </c>
    </row>
    <row r="23" spans="3:14" x14ac:dyDescent="0.25">
      <c r="C23" s="48"/>
      <c r="D23" s="48" t="s">
        <v>237</v>
      </c>
      <c r="J23" s="109">
        <f>365/J22</f>
        <v>63.875</v>
      </c>
      <c r="K23" s="109">
        <f>365/K22</f>
        <v>119.68052157959113</v>
      </c>
      <c r="L23" s="109">
        <f>365/L22</f>
        <v>119.90570175438594</v>
      </c>
      <c r="M23" s="109">
        <f>365/M22</f>
        <v>119.90570175438596</v>
      </c>
      <c r="N23" s="109">
        <f>365/N22</f>
        <v>119.90570175438594</v>
      </c>
    </row>
    <row r="24" spans="3:14" x14ac:dyDescent="0.25">
      <c r="C24" s="48"/>
      <c r="D24" s="48"/>
    </row>
    <row r="25" spans="3:14" x14ac:dyDescent="0.25">
      <c r="C25" s="48"/>
      <c r="D25" s="48" t="s">
        <v>238</v>
      </c>
      <c r="J25" s="37">
        <f>Workings!K19/(('Balance Sheet'!K25+'Balance Sheet'!J25)/2)</f>
        <v>24</v>
      </c>
      <c r="K25" s="37">
        <f>Workings!L19/(('Balance Sheet'!L25+'Balance Sheet'!K25)/2)</f>
        <v>12.809101930429916</v>
      </c>
      <c r="L25" s="37">
        <f>Workings!M19/(('Balance Sheet'!M25+'Balance Sheet'!L25)/2)</f>
        <v>12.785046728971963</v>
      </c>
      <c r="M25" s="37">
        <f>Workings!N19/(('Balance Sheet'!N25+'Balance Sheet'!M25)/2)</f>
        <v>12.785046728971963</v>
      </c>
      <c r="N25" s="37">
        <f>Workings!O19/(('Balance Sheet'!O25+'Balance Sheet'!N25)/2)</f>
        <v>12.785046728971963</v>
      </c>
    </row>
    <row r="26" spans="3:14" x14ac:dyDescent="0.25">
      <c r="C26" s="48"/>
      <c r="D26" s="48" t="s">
        <v>239</v>
      </c>
      <c r="J26" s="109">
        <f>365/J25</f>
        <v>15.208333333333334</v>
      </c>
      <c r="K26" s="109">
        <f>365/K25</f>
        <v>28.49536228085503</v>
      </c>
      <c r="L26" s="109">
        <f>365/L25</f>
        <v>28.548976608187132</v>
      </c>
      <c r="M26" s="109">
        <f>365/M25</f>
        <v>28.548976608187132</v>
      </c>
      <c r="N26" s="109">
        <f>365/N25</f>
        <v>28.548976608187132</v>
      </c>
    </row>
    <row r="27" spans="3:14" x14ac:dyDescent="0.25">
      <c r="C27" s="48"/>
      <c r="D27" s="48"/>
    </row>
    <row r="28" spans="3:14" x14ac:dyDescent="0.25">
      <c r="C28" s="48" t="s">
        <v>241</v>
      </c>
      <c r="D28" s="48"/>
      <c r="J28" s="109">
        <f>J23-J26</f>
        <v>48.666666666666664</v>
      </c>
      <c r="K28" s="109">
        <f>K23-K26</f>
        <v>91.185159298736096</v>
      </c>
      <c r="L28" s="109">
        <f>L23-L26</f>
        <v>91.356725146198812</v>
      </c>
      <c r="M28" s="109">
        <f>M23-M26</f>
        <v>91.356725146198826</v>
      </c>
      <c r="N28" s="109">
        <f>N23-N26</f>
        <v>91.356725146198812</v>
      </c>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1265" r:id="rId3" name="Drop Down 1">
              <controlPr defaultSize="0" autoLine="0" autoPict="0">
                <anchor moveWithCells="1">
                  <from>
                    <xdr:col>1</xdr:col>
                    <xdr:colOff>523875</xdr:colOff>
                    <xdr:row>0</xdr:row>
                    <xdr:rowOff>47625</xdr:rowOff>
                  </from>
                  <to>
                    <xdr:col>3</xdr:col>
                    <xdr:colOff>95250</xdr:colOff>
                    <xdr:row>1</xdr:row>
                    <xdr:rowOff>9525</xdr:rowOff>
                  </to>
                </anchor>
              </controlPr>
            </control>
          </mc:Choice>
        </mc:AlternateContent>
      </controls>
    </mc:Choice>
  </mc:AlternateConten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8" tint="-0.249977111117893"/>
  </sheetPr>
  <dimension ref="B1:M24"/>
  <sheetViews>
    <sheetView showGridLines="0" workbookViewId="0">
      <selection activeCell="M1" sqref="M1"/>
    </sheetView>
  </sheetViews>
  <sheetFormatPr defaultRowHeight="15" x14ac:dyDescent="0.25"/>
  <cols>
    <col min="4" max="4" width="17.42578125" customWidth="1"/>
    <col min="5" max="5" width="18.140625" customWidth="1"/>
    <col min="6" max="6" width="23.28515625" bestFit="1" customWidth="1"/>
    <col min="7" max="7" width="19.28515625" bestFit="1" customWidth="1"/>
    <col min="8" max="8" width="13.28515625" bestFit="1" customWidth="1"/>
    <col min="9" max="9" width="17.42578125" customWidth="1"/>
    <col min="10" max="10" width="11.85546875" customWidth="1"/>
    <col min="11" max="12" width="12.42578125" customWidth="1"/>
    <col min="13" max="13" width="7.85546875" customWidth="1"/>
  </cols>
  <sheetData>
    <row r="1" spans="2:13" x14ac:dyDescent="0.25">
      <c r="B1" s="21" t="s">
        <v>41</v>
      </c>
      <c r="G1" s="21" t="s">
        <v>3</v>
      </c>
      <c r="L1" s="22" t="s">
        <v>42</v>
      </c>
      <c r="M1" s="119" t="s">
        <v>266</v>
      </c>
    </row>
    <row r="2" spans="2:13" ht="21" x14ac:dyDescent="0.35">
      <c r="D2" s="18" t="s">
        <v>242</v>
      </c>
      <c r="E2" s="18"/>
      <c r="F2" s="18"/>
      <c r="G2" s="18"/>
      <c r="H2" s="18"/>
      <c r="I2" s="18"/>
      <c r="J2" s="18"/>
      <c r="K2" s="18"/>
      <c r="L2" s="18"/>
      <c r="M2" s="18"/>
    </row>
    <row r="4" spans="2:13" x14ac:dyDescent="0.25">
      <c r="C4" t="s">
        <v>243</v>
      </c>
      <c r="D4" t="s">
        <v>10</v>
      </c>
      <c r="E4" t="s">
        <v>71</v>
      </c>
      <c r="F4" t="s">
        <v>244</v>
      </c>
      <c r="G4" t="s">
        <v>245</v>
      </c>
      <c r="H4" t="s">
        <v>131</v>
      </c>
      <c r="I4" t="s">
        <v>246</v>
      </c>
      <c r="J4" t="s">
        <v>15</v>
      </c>
      <c r="K4" t="s">
        <v>228</v>
      </c>
      <c r="L4" t="s">
        <v>247</v>
      </c>
      <c r="M4" t="s">
        <v>231</v>
      </c>
    </row>
    <row r="5" spans="2:13" x14ac:dyDescent="0.25">
      <c r="C5" s="69">
        <v>2025</v>
      </c>
      <c r="D5" s="35">
        <f>'Income Statement'!I4</f>
        <v>56448000</v>
      </c>
      <c r="E5" s="84">
        <f>('Income Statement'!I6)*-1</f>
        <v>16934400</v>
      </c>
      <c r="F5" s="84">
        <f>'Income Statement'!I8</f>
        <v>39513600</v>
      </c>
      <c r="I5" s="84">
        <f>'Income Statement'!I12</f>
        <v>27209120</v>
      </c>
      <c r="J5" s="84">
        <f>'Income Statement'!I18</f>
        <v>25104320</v>
      </c>
      <c r="K5" s="31">
        <f>'Financial Ratios'!J5</f>
        <v>0.7</v>
      </c>
      <c r="L5" s="31">
        <f>'Financial Ratios'!J7</f>
        <v>0.44473356009070297</v>
      </c>
      <c r="M5" s="31">
        <f>'Financial Ratios'!J9</f>
        <v>0.69032519445855012</v>
      </c>
    </row>
    <row r="6" spans="2:13" x14ac:dyDescent="0.25">
      <c r="C6" s="69">
        <v>2026</v>
      </c>
      <c r="D6" s="35">
        <f>'Income Statement'!J4</f>
        <v>64610380.799999997</v>
      </c>
      <c r="E6" s="84">
        <f>('Income Statement'!J6)*-1</f>
        <v>19383114.239999998</v>
      </c>
      <c r="F6" s="84">
        <f>'Income Statement'!J8</f>
        <v>45227266.560000002</v>
      </c>
      <c r="I6" s="84">
        <f>'Income Statement'!J12</f>
        <v>30841162.752000004</v>
      </c>
      <c r="J6" s="84">
        <f>'Income Statement'!J18</f>
        <v>28736362.752000004</v>
      </c>
      <c r="K6" s="31">
        <f>'Financial Ratios'!K5</f>
        <v>0.70000000000000007</v>
      </c>
      <c r="L6" s="31">
        <f>'Financial Ratios'!K7</f>
        <v>0.44476386605664464</v>
      </c>
      <c r="M6" s="31">
        <f>'Financial Ratios'!K9</f>
        <v>0.49615423259165897</v>
      </c>
    </row>
    <row r="7" spans="2:13" x14ac:dyDescent="0.25">
      <c r="C7" s="69">
        <v>2027</v>
      </c>
      <c r="D7" s="35">
        <f>'Income Statement'!K4</f>
        <v>73655834.112000018</v>
      </c>
      <c r="E7" s="84">
        <f>('Income Statement'!K6)*-1</f>
        <v>22096750.233600002</v>
      </c>
      <c r="F7" s="84">
        <f>'Income Statement'!K8</f>
        <v>51559083.878400013</v>
      </c>
      <c r="I7" s="84">
        <f>'Income Statement'!K12</f>
        <v>37082525.537280008</v>
      </c>
      <c r="J7" s="84">
        <f>'Income Statement'!K18</f>
        <v>34977725.537280008</v>
      </c>
      <c r="K7" s="31">
        <f>'Financial Ratios'!L5</f>
        <v>0.7</v>
      </c>
      <c r="L7" s="31">
        <f>'Financial Ratios'!L7</f>
        <v>0.47488058426021451</v>
      </c>
      <c r="M7" s="31">
        <f>'Financial Ratios'!L9</f>
        <v>0.41565183893574575</v>
      </c>
    </row>
    <row r="8" spans="2:13" x14ac:dyDescent="0.25">
      <c r="C8" s="69">
        <v>2028</v>
      </c>
      <c r="D8" s="35">
        <f>'Income Statement'!L4</f>
        <v>83967650.887680024</v>
      </c>
      <c r="E8" s="84">
        <f>('Income Statement'!L6)*-1</f>
        <v>25190295.266304005</v>
      </c>
      <c r="F8" s="84">
        <f>'Income Statement'!L8</f>
        <v>58777355.621376023</v>
      </c>
      <c r="I8" s="84">
        <f>'Income Statement'!L12</f>
        <v>44197679.112499222</v>
      </c>
      <c r="J8" s="84">
        <f>'Income Statement'!L18</f>
        <v>41922879.112499222</v>
      </c>
      <c r="K8" s="31">
        <f>'Financial Ratios'!M5</f>
        <v>0.70000000000000007</v>
      </c>
      <c r="L8" s="31">
        <f>'Financial Ratios'!M7</f>
        <v>0.49927416891271242</v>
      </c>
      <c r="M8" s="31">
        <f>'Financial Ratios'!M9</f>
        <v>0.36267455773095042</v>
      </c>
    </row>
    <row r="9" spans="2:13" x14ac:dyDescent="0.25">
      <c r="C9" s="69">
        <v>2029</v>
      </c>
      <c r="D9" s="35">
        <f>'Income Statement'!M4</f>
        <v>95723122.011955231</v>
      </c>
      <c r="E9" s="84">
        <f>('Income Statement'!M6)*-1</f>
        <v>28716936.603586566</v>
      </c>
      <c r="F9" s="84">
        <f>'Income Statement'!M8</f>
        <v>67006185.408368662</v>
      </c>
      <c r="I9" s="84">
        <f>'Income Statement'!M12</f>
        <v>52308954.188249111</v>
      </c>
      <c r="J9" s="84">
        <f>'Income Statement'!M18</f>
        <v>50034154.188249111</v>
      </c>
      <c r="K9" s="31">
        <f>'Financial Ratios'!N5</f>
        <v>0.7</v>
      </c>
      <c r="L9" s="31">
        <f>'Financial Ratios'!N7</f>
        <v>0.52269663939711608</v>
      </c>
      <c r="M9" s="31">
        <f>'Financial Ratios'!N9</f>
        <v>0.3267658780593341</v>
      </c>
    </row>
    <row r="10" spans="2:13" x14ac:dyDescent="0.25">
      <c r="C10" s="69">
        <v>2025</v>
      </c>
      <c r="G10" t="s">
        <v>248</v>
      </c>
      <c r="H10" s="35">
        <f>Workings!K32</f>
        <v>5520000</v>
      </c>
    </row>
    <row r="11" spans="2:13" x14ac:dyDescent="0.25">
      <c r="C11" s="69">
        <v>2025</v>
      </c>
      <c r="G11" t="s">
        <v>249</v>
      </c>
      <c r="H11" s="35">
        <f>('Income Statement'!I14)*-1</f>
        <v>2104800</v>
      </c>
    </row>
    <row r="12" spans="2:13" x14ac:dyDescent="0.25">
      <c r="C12" s="69">
        <v>2025</v>
      </c>
      <c r="G12" t="s">
        <v>250</v>
      </c>
      <c r="H12" s="35">
        <f>SUM(Workings!K33:K40)</f>
        <v>8809480</v>
      </c>
    </row>
    <row r="13" spans="2:13" x14ac:dyDescent="0.25">
      <c r="C13" s="69">
        <v>2026</v>
      </c>
      <c r="G13" t="s">
        <v>248</v>
      </c>
      <c r="H13" s="35">
        <f>Workings!L32</f>
        <v>5520000</v>
      </c>
    </row>
    <row r="14" spans="2:13" x14ac:dyDescent="0.25">
      <c r="C14" s="69">
        <v>2026</v>
      </c>
      <c r="G14" t="s">
        <v>249</v>
      </c>
      <c r="H14" s="35">
        <f>('Income Statement'!J14)*-1</f>
        <v>2104800</v>
      </c>
    </row>
    <row r="15" spans="2:13" x14ac:dyDescent="0.25">
      <c r="C15" s="69">
        <v>2026</v>
      </c>
      <c r="G15" t="s">
        <v>250</v>
      </c>
      <c r="H15" s="35">
        <f>SUM(Workings!L34:L40)</f>
        <v>7066103.8080000002</v>
      </c>
    </row>
    <row r="16" spans="2:13" x14ac:dyDescent="0.25">
      <c r="C16" s="69">
        <v>2027</v>
      </c>
      <c r="G16" t="s">
        <v>248</v>
      </c>
      <c r="H16" s="35">
        <f>Workings!M32</f>
        <v>5520000</v>
      </c>
    </row>
    <row r="17" spans="3:8" x14ac:dyDescent="0.25">
      <c r="C17" s="69">
        <v>2027</v>
      </c>
      <c r="G17" t="s">
        <v>249</v>
      </c>
      <c r="H17" s="35">
        <f>('Income Statement'!K14)*-1</f>
        <v>2104800</v>
      </c>
    </row>
    <row r="18" spans="3:8" x14ac:dyDescent="0.25">
      <c r="C18" s="69">
        <v>2027</v>
      </c>
      <c r="G18" t="s">
        <v>250</v>
      </c>
      <c r="H18" s="35">
        <f>SUM(Workings!M33:M40)</f>
        <v>8956558.3411200009</v>
      </c>
    </row>
    <row r="19" spans="3:8" x14ac:dyDescent="0.25">
      <c r="C19" s="69">
        <v>2028</v>
      </c>
      <c r="G19" t="s">
        <v>248</v>
      </c>
      <c r="H19" s="35">
        <f>Workings!N32</f>
        <v>5520000</v>
      </c>
    </row>
    <row r="20" spans="3:8" x14ac:dyDescent="0.25">
      <c r="C20" s="69">
        <v>2028</v>
      </c>
      <c r="G20" t="s">
        <v>249</v>
      </c>
      <c r="H20" s="35">
        <f>('Income Statement'!L14)*-1</f>
        <v>2274800</v>
      </c>
    </row>
    <row r="21" spans="3:8" x14ac:dyDescent="0.25">
      <c r="C21" s="69">
        <v>2028</v>
      </c>
      <c r="G21" t="s">
        <v>250</v>
      </c>
      <c r="H21" s="35">
        <f>SUM(Workings!N33:N40)</f>
        <v>9059676.5088768005</v>
      </c>
    </row>
    <row r="22" spans="3:8" x14ac:dyDescent="0.25">
      <c r="C22" s="69">
        <v>2029</v>
      </c>
      <c r="G22" t="s">
        <v>248</v>
      </c>
      <c r="H22" s="35">
        <f>Workings!O32</f>
        <v>5520000</v>
      </c>
    </row>
    <row r="23" spans="3:8" x14ac:dyDescent="0.25">
      <c r="C23" s="69">
        <v>2029</v>
      </c>
      <c r="G23" t="s">
        <v>249</v>
      </c>
      <c r="H23" s="35">
        <f>('Income Statement'!M14)*-1</f>
        <v>2274800</v>
      </c>
    </row>
    <row r="24" spans="3:8" x14ac:dyDescent="0.25">
      <c r="C24" s="69">
        <v>2029</v>
      </c>
      <c r="G24" t="s">
        <v>250</v>
      </c>
      <c r="H24" s="35">
        <f>SUM(Workings!O33:O40)</f>
        <v>9177231.2201195527</v>
      </c>
    </row>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2289" r:id="rId3" name="Drop Down 1">
              <controlPr defaultSize="0" autoLine="0" autoPict="0">
                <anchor moveWithCells="1">
                  <from>
                    <xdr:col>1</xdr:col>
                    <xdr:colOff>571500</xdr:colOff>
                    <xdr:row>0</xdr:row>
                    <xdr:rowOff>38100</xdr:rowOff>
                  </from>
                  <to>
                    <xdr:col>3</xdr:col>
                    <xdr:colOff>47625</xdr:colOff>
                    <xdr:row>1</xdr:row>
                    <xdr:rowOff>0</xdr:rowOff>
                  </to>
                </anchor>
              </controlPr>
            </control>
          </mc:Choice>
        </mc:AlternateContent>
      </controls>
    </mc:Choice>
  </mc:AlternateContent>
  <tableParts count="1">
    <tablePart r:id="rId4"/>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249977111117893"/>
  </sheetPr>
  <dimension ref="B3:I47"/>
  <sheetViews>
    <sheetView showGridLines="0" workbookViewId="0">
      <selection activeCell="F18" sqref="F18"/>
    </sheetView>
  </sheetViews>
  <sheetFormatPr defaultRowHeight="15" x14ac:dyDescent="0.25"/>
  <cols>
    <col min="2" max="2" width="13.140625" customWidth="1"/>
    <col min="3" max="3" width="15.5703125" customWidth="1"/>
    <col min="4" max="4" width="19.28515625" customWidth="1"/>
    <col min="5" max="5" width="18.7109375" customWidth="1"/>
    <col min="6" max="6" width="11.28515625" customWidth="1"/>
    <col min="7" max="7" width="19.140625" bestFit="1" customWidth="1"/>
    <col min="8" max="8" width="22.28515625" bestFit="1" customWidth="1"/>
    <col min="9" max="9" width="20" bestFit="1" customWidth="1"/>
  </cols>
  <sheetData>
    <row r="3" spans="2:5" x14ac:dyDescent="0.25">
      <c r="B3" s="113" t="s">
        <v>251</v>
      </c>
      <c r="C3" t="s">
        <v>253</v>
      </c>
      <c r="D3" t="s">
        <v>254</v>
      </c>
      <c r="E3" t="s">
        <v>255</v>
      </c>
    </row>
    <row r="4" spans="2:5" x14ac:dyDescent="0.25">
      <c r="B4" s="114">
        <v>2025</v>
      </c>
      <c r="C4" s="42">
        <v>56448000</v>
      </c>
      <c r="D4" s="42">
        <v>16934400</v>
      </c>
      <c r="E4" s="42">
        <v>39513600</v>
      </c>
    </row>
    <row r="5" spans="2:5" x14ac:dyDescent="0.25">
      <c r="B5" s="114">
        <v>2026</v>
      </c>
      <c r="C5" s="42">
        <v>64610380.799999997</v>
      </c>
      <c r="D5" s="42">
        <v>19383114.239999998</v>
      </c>
      <c r="E5" s="42">
        <v>45227266.560000002</v>
      </c>
    </row>
    <row r="6" spans="2:5" x14ac:dyDescent="0.25">
      <c r="B6" s="114">
        <v>2027</v>
      </c>
      <c r="C6" s="42">
        <v>73655834.112000018</v>
      </c>
      <c r="D6" s="42">
        <v>22096750.233600002</v>
      </c>
      <c r="E6" s="42">
        <v>51559083.878400013</v>
      </c>
    </row>
    <row r="7" spans="2:5" x14ac:dyDescent="0.25">
      <c r="B7" s="114">
        <v>2028</v>
      </c>
      <c r="C7" s="42">
        <v>83967650.887680024</v>
      </c>
      <c r="D7" s="42">
        <v>25190295.266304005</v>
      </c>
      <c r="E7" s="42">
        <v>58777355.621376023</v>
      </c>
    </row>
    <row r="8" spans="2:5" x14ac:dyDescent="0.25">
      <c r="B8" s="114">
        <v>2029</v>
      </c>
      <c r="C8" s="42">
        <v>95723122.011955231</v>
      </c>
      <c r="D8" s="42">
        <v>28716936.603586566</v>
      </c>
      <c r="E8" s="42">
        <v>67006185.408368662</v>
      </c>
    </row>
    <row r="9" spans="2:5" x14ac:dyDescent="0.25">
      <c r="B9" s="114" t="s">
        <v>252</v>
      </c>
      <c r="C9" s="42">
        <v>374404987.81163526</v>
      </c>
      <c r="D9" s="42">
        <v>112321496.34349057</v>
      </c>
      <c r="E9" s="42">
        <v>262083491.46814471</v>
      </c>
    </row>
    <row r="10" spans="2:5" x14ac:dyDescent="0.25">
      <c r="B10" s="114"/>
      <c r="C10" s="42"/>
      <c r="D10" s="42"/>
      <c r="E10" s="42"/>
    </row>
    <row r="11" spans="2:5" x14ac:dyDescent="0.25">
      <c r="B11" s="114"/>
      <c r="C11" s="42"/>
      <c r="D11" s="42"/>
      <c r="E11" s="42"/>
    </row>
    <row r="12" spans="2:5" x14ac:dyDescent="0.25">
      <c r="B12" s="113" t="s">
        <v>251</v>
      </c>
      <c r="C12" t="s">
        <v>257</v>
      </c>
    </row>
    <row r="13" spans="2:5" x14ac:dyDescent="0.25">
      <c r="B13" s="114" t="s">
        <v>249</v>
      </c>
      <c r="C13" s="42">
        <v>10864000</v>
      </c>
    </row>
    <row r="14" spans="2:5" x14ac:dyDescent="0.25">
      <c r="B14" s="114" t="s">
        <v>248</v>
      </c>
      <c r="C14" s="42">
        <v>27600000</v>
      </c>
    </row>
    <row r="15" spans="2:5" x14ac:dyDescent="0.25">
      <c r="B15" s="114" t="s">
        <v>250</v>
      </c>
      <c r="C15" s="42">
        <v>43069049.878116354</v>
      </c>
    </row>
    <row r="16" spans="2:5" x14ac:dyDescent="0.25">
      <c r="B16" s="114" t="s">
        <v>252</v>
      </c>
      <c r="C16" s="42">
        <v>81533049.878116354</v>
      </c>
    </row>
    <row r="22" spans="2:5" x14ac:dyDescent="0.25">
      <c r="B22" s="113" t="s">
        <v>257</v>
      </c>
      <c r="C22" s="113" t="s">
        <v>256</v>
      </c>
    </row>
    <row r="23" spans="2:5" x14ac:dyDescent="0.25">
      <c r="B23" s="113" t="s">
        <v>251</v>
      </c>
      <c r="C23" t="s">
        <v>249</v>
      </c>
      <c r="D23" t="s">
        <v>248</v>
      </c>
      <c r="E23" t="s">
        <v>250</v>
      </c>
    </row>
    <row r="24" spans="2:5" x14ac:dyDescent="0.25">
      <c r="B24" s="114">
        <v>2025</v>
      </c>
      <c r="C24" s="42">
        <v>2104800</v>
      </c>
      <c r="D24" s="42">
        <v>5520000</v>
      </c>
      <c r="E24" s="42">
        <v>8809480</v>
      </c>
    </row>
    <row r="25" spans="2:5" x14ac:dyDescent="0.25">
      <c r="B25" s="114">
        <v>2026</v>
      </c>
      <c r="C25" s="42">
        <v>2104800</v>
      </c>
      <c r="D25" s="42">
        <v>5520000</v>
      </c>
      <c r="E25" s="42">
        <v>7066103.8080000002</v>
      </c>
    </row>
    <row r="26" spans="2:5" x14ac:dyDescent="0.25">
      <c r="B26" s="114">
        <v>2027</v>
      </c>
      <c r="C26" s="42">
        <v>2104800</v>
      </c>
      <c r="D26" s="42">
        <v>5520000</v>
      </c>
      <c r="E26" s="42">
        <v>8956558.3411200009</v>
      </c>
    </row>
    <row r="27" spans="2:5" x14ac:dyDescent="0.25">
      <c r="B27" s="114">
        <v>2028</v>
      </c>
      <c r="C27" s="42">
        <v>2274800</v>
      </c>
      <c r="D27" s="42">
        <v>5520000</v>
      </c>
      <c r="E27" s="42">
        <v>9059676.5088768005</v>
      </c>
    </row>
    <row r="28" spans="2:5" x14ac:dyDescent="0.25">
      <c r="B28" s="114">
        <v>2029</v>
      </c>
      <c r="C28" s="42">
        <v>2274800</v>
      </c>
      <c r="D28" s="42">
        <v>5520000</v>
      </c>
      <c r="E28" s="42">
        <v>9177231.2201195527</v>
      </c>
    </row>
    <row r="29" spans="2:5" x14ac:dyDescent="0.25">
      <c r="B29" s="114" t="s">
        <v>252</v>
      </c>
      <c r="C29" s="42">
        <v>10864000</v>
      </c>
      <c r="D29" s="42">
        <v>27600000</v>
      </c>
      <c r="E29" s="42">
        <v>43069049.878116354</v>
      </c>
    </row>
    <row r="32" spans="2:5" x14ac:dyDescent="0.25">
      <c r="B32" s="113" t="s">
        <v>251</v>
      </c>
      <c r="C32" t="s">
        <v>258</v>
      </c>
      <c r="D32" t="s">
        <v>259</v>
      </c>
      <c r="E32" t="s">
        <v>260</v>
      </c>
    </row>
    <row r="33" spans="2:9" x14ac:dyDescent="0.25">
      <c r="B33" s="114">
        <v>2025</v>
      </c>
      <c r="C33" s="42">
        <v>56448000</v>
      </c>
      <c r="D33" s="42">
        <v>39513600</v>
      </c>
      <c r="E33" s="42">
        <v>25104320</v>
      </c>
    </row>
    <row r="34" spans="2:9" x14ac:dyDescent="0.25">
      <c r="B34" s="114">
        <v>2026</v>
      </c>
      <c r="C34" s="42">
        <v>64610380.799999997</v>
      </c>
      <c r="D34" s="42">
        <v>45227266.560000002</v>
      </c>
      <c r="E34" s="42">
        <v>28736362.752000004</v>
      </c>
    </row>
    <row r="35" spans="2:9" x14ac:dyDescent="0.25">
      <c r="B35" s="114">
        <v>2027</v>
      </c>
      <c r="C35" s="42">
        <v>73655834.112000018</v>
      </c>
      <c r="D35" s="42">
        <v>51559083.878400013</v>
      </c>
      <c r="E35" s="42">
        <v>34977725.537280008</v>
      </c>
    </row>
    <row r="36" spans="2:9" x14ac:dyDescent="0.25">
      <c r="B36" s="114">
        <v>2028</v>
      </c>
      <c r="C36" s="42">
        <v>83967650.887680024</v>
      </c>
      <c r="D36" s="42">
        <v>58777355.621376023</v>
      </c>
      <c r="E36" s="42">
        <v>41922879.112499222</v>
      </c>
    </row>
    <row r="37" spans="2:9" x14ac:dyDescent="0.25">
      <c r="B37" s="114">
        <v>2029</v>
      </c>
      <c r="C37" s="42">
        <v>95723122.011955231</v>
      </c>
      <c r="D37" s="42">
        <v>67006185.408368662</v>
      </c>
      <c r="E37" s="42">
        <v>50034154.188249111</v>
      </c>
      <c r="G37" s="115" t="s">
        <v>10</v>
      </c>
      <c r="H37" s="115" t="s">
        <v>264</v>
      </c>
      <c r="I37" s="115" t="s">
        <v>265</v>
      </c>
    </row>
    <row r="38" spans="2:9" x14ac:dyDescent="0.25">
      <c r="B38" s="114" t="s">
        <v>252</v>
      </c>
      <c r="C38" s="42">
        <v>74880997.562327057</v>
      </c>
      <c r="D38" s="42">
        <v>52416698.293628946</v>
      </c>
      <c r="E38" s="42">
        <v>36155088.318005666</v>
      </c>
      <c r="G38" s="117">
        <f>GETPIVOTDATA("Average of Revenue",$B$32)</f>
        <v>74880997.562327057</v>
      </c>
      <c r="H38" s="117">
        <f>GETPIVOTDATA("Average of  Gross Profit",$B$32)</f>
        <v>52416698.293628946</v>
      </c>
      <c r="I38" s="117">
        <f>GETPIVOTDATA("Average of Net Profit",$B$32)</f>
        <v>36155088.318005666</v>
      </c>
    </row>
    <row r="41" spans="2:9" x14ac:dyDescent="0.25">
      <c r="B41" s="113" t="s">
        <v>251</v>
      </c>
      <c r="C41" t="s">
        <v>261</v>
      </c>
      <c r="D41" t="s">
        <v>262</v>
      </c>
      <c r="E41" t="s">
        <v>263</v>
      </c>
    </row>
    <row r="42" spans="2:9" x14ac:dyDescent="0.25">
      <c r="B42" s="114">
        <v>2025</v>
      </c>
      <c r="C42" s="31">
        <v>0.7</v>
      </c>
      <c r="D42" s="31">
        <v>0.44473356009070297</v>
      </c>
      <c r="E42" s="31">
        <v>0.69032519445855012</v>
      </c>
    </row>
    <row r="43" spans="2:9" x14ac:dyDescent="0.25">
      <c r="B43" s="114">
        <v>2026</v>
      </c>
      <c r="C43" s="31">
        <v>0.70000000000000007</v>
      </c>
      <c r="D43" s="31">
        <v>0.44476386605664464</v>
      </c>
      <c r="E43" s="31">
        <v>0.49615423259165897</v>
      </c>
    </row>
    <row r="44" spans="2:9" x14ac:dyDescent="0.25">
      <c r="B44" s="114">
        <v>2027</v>
      </c>
      <c r="C44" s="31">
        <v>0.7</v>
      </c>
      <c r="D44" s="31">
        <v>0.47488058426021451</v>
      </c>
      <c r="E44" s="31">
        <v>0.41565183893574575</v>
      </c>
    </row>
    <row r="45" spans="2:9" x14ac:dyDescent="0.25">
      <c r="B45" s="114">
        <v>2028</v>
      </c>
      <c r="C45" s="31">
        <v>0.70000000000000007</v>
      </c>
      <c r="D45" s="31">
        <v>0.49927416891271242</v>
      </c>
      <c r="E45" s="31">
        <v>0.36267455773095042</v>
      </c>
    </row>
    <row r="46" spans="2:9" x14ac:dyDescent="0.25">
      <c r="B46" s="114">
        <v>2029</v>
      </c>
      <c r="C46" s="31">
        <v>0.7</v>
      </c>
      <c r="D46" s="31">
        <v>0.52269663939711608</v>
      </c>
      <c r="E46" s="31">
        <v>0.3267658780593341</v>
      </c>
    </row>
    <row r="47" spans="2:9" x14ac:dyDescent="0.25">
      <c r="B47" s="114" t="s">
        <v>252</v>
      </c>
      <c r="C47" s="31">
        <v>3.5</v>
      </c>
      <c r="D47" s="31">
        <v>2.3863488187173907</v>
      </c>
      <c r="E47" s="31">
        <v>2.2915717017762391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Cover Page</vt:lpstr>
      <vt:lpstr> Summary</vt:lpstr>
      <vt:lpstr>Table Of Content</vt:lpstr>
      <vt:lpstr>Dashboard</vt:lpstr>
      <vt:lpstr>Input Data</vt:lpstr>
      <vt:lpstr>Workings</vt:lpstr>
      <vt:lpstr>Income Statement</vt:lpstr>
      <vt:lpstr>Balance Sheet</vt:lpstr>
      <vt:lpstr>Cashflow</vt:lpstr>
      <vt:lpstr>Valuation</vt:lpstr>
      <vt:lpstr>Financial Ratios</vt:lpstr>
      <vt:lpstr>Dataset</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2025-03-08T11:34:49Z</dcterms:created>
  <dcterms:modified xsi:type="dcterms:W3CDTF">2025-04-18T14:05:04Z</dcterms:modified>
</cp:coreProperties>
</file>